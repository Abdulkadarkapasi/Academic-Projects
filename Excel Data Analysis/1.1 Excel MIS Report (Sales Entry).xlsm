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Power bi Reports\"/>
    </mc:Choice>
  </mc:AlternateContent>
  <xr:revisionPtr revIDLastSave="0" documentId="13_ncr:1_{0249D8DF-748D-421D-B8A6-0426803366A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 Entry" sheetId="3" r:id="rId1"/>
    <sheet name="Sales Data" sheetId="4" r:id="rId2"/>
    <sheet name="Date Wise" sheetId="5" r:id="rId3"/>
    <sheet name="Item Wise" sheetId="6" r:id="rId4"/>
    <sheet name="Salesman Wise" sheetId="7" r:id="rId5"/>
    <sheet name="Total Sales" sheetId="8" r:id="rId6"/>
  </sheets>
  <definedNames>
    <definedName name="_xlnm._FilterDatabase" localSheetId="1" hidden="1">'Sales Data'!$A$3:$K$3</definedName>
  </definedNames>
  <calcPr calcId="191029"/>
  <pivotCaches>
    <pivotCache cacheId="149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3" l="1"/>
  <c r="H6" i="3"/>
  <c r="D12" i="3"/>
  <c r="F12" i="3"/>
  <c r="F10" i="3"/>
  <c r="H12" i="3" l="1"/>
  <c r="H10" i="3"/>
  <c r="H4" i="3"/>
  <c r="H14" i="3" l="1"/>
</calcChain>
</file>

<file path=xl/sharedStrings.xml><?xml version="1.0" encoding="utf-8"?>
<sst xmlns="http://schemas.openxmlformats.org/spreadsheetml/2006/main" count="202" uniqueCount="89">
  <si>
    <t>Amount</t>
  </si>
  <si>
    <t>Sale/Purchase Report</t>
  </si>
  <si>
    <t>Date</t>
  </si>
  <si>
    <t>Item</t>
  </si>
  <si>
    <t>Price</t>
  </si>
  <si>
    <t>Total</t>
  </si>
  <si>
    <t>GST</t>
  </si>
  <si>
    <t>Qty</t>
  </si>
  <si>
    <t>:</t>
  </si>
  <si>
    <t>Invoice No.</t>
  </si>
  <si>
    <t>Item Code</t>
  </si>
  <si>
    <t>Select</t>
  </si>
  <si>
    <t>Sales Man</t>
  </si>
  <si>
    <t>Item code</t>
  </si>
  <si>
    <t>Saleman</t>
  </si>
  <si>
    <t>Invoice</t>
  </si>
  <si>
    <t>GST Type</t>
  </si>
  <si>
    <t>Salesman</t>
  </si>
  <si>
    <t>Sales/Purchase Data</t>
  </si>
  <si>
    <t>GST (%)</t>
  </si>
  <si>
    <t>SGST/CGST</t>
  </si>
  <si>
    <t>Gopal</t>
  </si>
  <si>
    <t>Mouse</t>
  </si>
  <si>
    <t>Mohan</t>
  </si>
  <si>
    <t>Mo-Moh-1000</t>
  </si>
  <si>
    <t>Mo-Moh</t>
  </si>
  <si>
    <t>Ram</t>
  </si>
  <si>
    <t>Sachin</t>
  </si>
  <si>
    <t>Ra-Sac-1001</t>
  </si>
  <si>
    <t>Ra-Sac</t>
  </si>
  <si>
    <t>Keyboard</t>
  </si>
  <si>
    <t>Ajay</t>
  </si>
  <si>
    <t>Ke-Aja-1002</t>
  </si>
  <si>
    <t>Ke-Aja</t>
  </si>
  <si>
    <t>Printer</t>
  </si>
  <si>
    <t>Abdul</t>
  </si>
  <si>
    <t>Pr-Abd-1003</t>
  </si>
  <si>
    <t>Pr-Abd</t>
  </si>
  <si>
    <t>USB Cable</t>
  </si>
  <si>
    <t>US-Gop-1004</t>
  </si>
  <si>
    <t>US-Gop</t>
  </si>
  <si>
    <t>Mobile Phone</t>
  </si>
  <si>
    <t>Mo-Abd-1005</t>
  </si>
  <si>
    <t>Mo-Abd</t>
  </si>
  <si>
    <t>Power Cable</t>
  </si>
  <si>
    <t>Sanjay</t>
  </si>
  <si>
    <t>Po-San-1006</t>
  </si>
  <si>
    <t>Po-San</t>
  </si>
  <si>
    <t>Manish</t>
  </si>
  <si>
    <t>Mo-Man-1007</t>
  </si>
  <si>
    <t>Mo-Man</t>
  </si>
  <si>
    <t>IGST</t>
  </si>
  <si>
    <t>Earphone</t>
  </si>
  <si>
    <t>Ea-San-1008</t>
  </si>
  <si>
    <t>Ea-San</t>
  </si>
  <si>
    <t>Earbuds</t>
  </si>
  <si>
    <t>Ea-Gop-1009</t>
  </si>
  <si>
    <t>Ea-Gop</t>
  </si>
  <si>
    <t>Mobile Charger</t>
  </si>
  <si>
    <t>Mo-Man-1010</t>
  </si>
  <si>
    <t>Ra-San-1011</t>
  </si>
  <si>
    <t>Ra-San</t>
  </si>
  <si>
    <t>Computer</t>
  </si>
  <si>
    <t>Co-Moh-1012</t>
  </si>
  <si>
    <t>Co-Moh</t>
  </si>
  <si>
    <t>Grand Total</t>
  </si>
  <si>
    <t>Sum of Amount</t>
  </si>
  <si>
    <t>Sum of Total</t>
  </si>
  <si>
    <t>Items</t>
  </si>
  <si>
    <t>(All)</t>
  </si>
  <si>
    <t>Speaker</t>
  </si>
  <si>
    <t>Sp-San-1013</t>
  </si>
  <si>
    <t>Sp-San</t>
  </si>
  <si>
    <t>US-Moh-1014</t>
  </si>
  <si>
    <t>US-Moh</t>
  </si>
  <si>
    <t>Soham</t>
  </si>
  <si>
    <t>Mo-Soh-1015</t>
  </si>
  <si>
    <t>Mo-Soh</t>
  </si>
  <si>
    <t>Web Cam</t>
  </si>
  <si>
    <t>We-San-1016</t>
  </si>
  <si>
    <t>We-San</t>
  </si>
  <si>
    <t>Pencil Box</t>
  </si>
  <si>
    <t>Pe-Moh-1017</t>
  </si>
  <si>
    <t>Pe-Moh</t>
  </si>
  <si>
    <t>Ke-San-1018</t>
  </si>
  <si>
    <t>Ke-San</t>
  </si>
  <si>
    <t>Laptop</t>
  </si>
  <si>
    <t>La-Soh-1019</t>
  </si>
  <si>
    <t>La-Soh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</si>
</sst>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9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rgb="FF3F3F3F"/>
      </top>
      <bottom/>
      <diagonal/>
    </border>
    <border>
      <left/>
      <right style="thin">
        <color theme="4" tint="0.39997558519241921"/>
      </right>
      <top style="thin">
        <color rgb="FF3F3F3F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3">
    <xf numFmtId="0" fontId="0" fillId="0" borderId="0"/>
    <xf numFmtId="0" fontId="2" fillId="2" borderId="2" applyNumberFormat="0" applyAlignment="0" applyProtection="0"/>
    <xf numFmtId="9" fontId="8" fillId="0" borderId="0" applyFont="0" applyFill="0" applyBorder="0" applyAlignment="0" applyProtection="0"/>
  </cellStyleXfs>
  <cellXfs count="5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6" fillId="0" borderId="0" xfId="0" applyFont="1"/>
    <xf numFmtId="0" fontId="0" fillId="5" borderId="0" xfId="0" applyFill="1"/>
    <xf numFmtId="14" fontId="0" fillId="0" borderId="0" xfId="0" applyNumberFormat="1"/>
    <xf numFmtId="9" fontId="0" fillId="0" borderId="0" xfId="0" applyNumberFormat="1"/>
    <xf numFmtId="9" fontId="0" fillId="0" borderId="0" xfId="2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 indent="1"/>
    </xf>
    <xf numFmtId="0" fontId="4" fillId="0" borderId="0" xfId="0" pivotButton="1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7" borderId="4" xfId="0" applyFont="1" applyFill="1" applyBorder="1"/>
    <xf numFmtId="0" fontId="0" fillId="7" borderId="5" xfId="0" applyFont="1" applyFill="1" applyBorder="1"/>
    <xf numFmtId="0" fontId="0" fillId="7" borderId="6" xfId="0" applyFont="1" applyFill="1" applyBorder="1"/>
    <xf numFmtId="0" fontId="0" fillId="0" borderId="0" xfId="0" applyNumberFormat="1"/>
    <xf numFmtId="14" fontId="0" fillId="0" borderId="0" xfId="0" applyNumberFormat="1" applyBorder="1" applyAlignment="1">
      <alignment horizontal="left"/>
    </xf>
    <xf numFmtId="0" fontId="0" fillId="0" borderId="0" xfId="0" applyNumberFormat="1" applyBorder="1"/>
    <xf numFmtId="14" fontId="4" fillId="0" borderId="0" xfId="0" pivotButton="1" applyNumberFormat="1" applyFont="1" applyBorder="1"/>
    <xf numFmtId="0" fontId="4" fillId="0" borderId="0" xfId="0" applyFont="1" applyBorder="1"/>
    <xf numFmtId="0" fontId="0" fillId="7" borderId="7" xfId="0" applyFont="1" applyFill="1" applyBorder="1"/>
    <xf numFmtId="0" fontId="0" fillId="7" borderId="3" xfId="0" applyFont="1" applyFill="1" applyBorder="1"/>
    <xf numFmtId="9" fontId="0" fillId="7" borderId="3" xfId="2" applyNumberFormat="1" applyFont="1" applyFill="1" applyBorder="1"/>
    <xf numFmtId="0" fontId="0" fillId="7" borderId="8" xfId="0" applyFont="1" applyFill="1" applyBorder="1"/>
    <xf numFmtId="0" fontId="0" fillId="0" borderId="9" xfId="0" applyFont="1" applyBorder="1"/>
    <xf numFmtId="0" fontId="0" fillId="0" borderId="10" xfId="0" applyFont="1" applyBorder="1"/>
    <xf numFmtId="9" fontId="0" fillId="0" borderId="10" xfId="2" applyNumberFormat="1" applyFont="1" applyBorder="1"/>
    <xf numFmtId="0" fontId="0" fillId="0" borderId="11" xfId="0" applyFont="1" applyBorder="1"/>
    <xf numFmtId="0" fontId="0" fillId="7" borderId="9" xfId="0" applyFont="1" applyFill="1" applyBorder="1"/>
    <xf numFmtId="0" fontId="0" fillId="7" borderId="10" xfId="0" applyFont="1" applyFill="1" applyBorder="1"/>
    <xf numFmtId="9" fontId="0" fillId="7" borderId="10" xfId="2" applyNumberFormat="1" applyFont="1" applyFill="1" applyBorder="1"/>
    <xf numFmtId="0" fontId="0" fillId="7" borderId="11" xfId="0" applyFont="1" applyFill="1" applyBorder="1"/>
    <xf numFmtId="9" fontId="0" fillId="7" borderId="5" xfId="2" applyNumberFormat="1" applyFont="1" applyFill="1" applyBorder="1"/>
    <xf numFmtId="0" fontId="1" fillId="6" borderId="12" xfId="0" applyFont="1" applyFill="1" applyBorder="1" applyAlignment="1">
      <alignment horizontal="center" vertical="center"/>
    </xf>
    <xf numFmtId="0" fontId="2" fillId="2" borderId="13" xfId="1" applyFont="1" applyFill="1" applyBorder="1"/>
    <xf numFmtId="9" fontId="2" fillId="2" borderId="13" xfId="2" applyNumberFormat="1" applyFont="1" applyFill="1" applyBorder="1"/>
    <xf numFmtId="0" fontId="2" fillId="2" borderId="14" xfId="1" applyFont="1" applyFill="1" applyBorder="1"/>
    <xf numFmtId="14" fontId="0" fillId="4" borderId="1" xfId="0" applyNumberFormat="1" applyFont="1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4" borderId="1" xfId="0" applyFont="1" applyFill="1" applyBorder="1" applyAlignment="1">
      <alignment horizontal="left"/>
    </xf>
    <xf numFmtId="9" fontId="0" fillId="4" borderId="1" xfId="0" applyNumberFormat="1" applyFont="1" applyFill="1" applyBorder="1" applyAlignment="1">
      <alignment horizontal="left"/>
    </xf>
    <xf numFmtId="0" fontId="0" fillId="0" borderId="0" xfId="0" applyFont="1"/>
    <xf numFmtId="164" fontId="0" fillId="0" borderId="0" xfId="0" applyNumberFormat="1" applyBorder="1" applyAlignment="1">
      <alignment horizontal="left"/>
    </xf>
    <xf numFmtId="14" fontId="2" fillId="2" borderId="13" xfId="1" applyNumberFormat="1" applyFont="1" applyFill="1" applyBorder="1"/>
    <xf numFmtId="14" fontId="0" fillId="7" borderId="3" xfId="0" applyNumberFormat="1" applyFont="1" applyFill="1" applyBorder="1"/>
    <xf numFmtId="14" fontId="0" fillId="0" borderId="10" xfId="0" applyNumberFormat="1" applyFont="1" applyBorder="1"/>
    <xf numFmtId="14" fontId="0" fillId="7" borderId="10" xfId="0" applyNumberFormat="1" applyFont="1" applyFill="1" applyBorder="1"/>
    <xf numFmtId="14" fontId="0" fillId="7" borderId="5" xfId="0" applyNumberFormat="1" applyFont="1" applyFill="1" applyBorder="1"/>
    <xf numFmtId="14" fontId="0" fillId="0" borderId="0" xfId="0" applyNumberFormat="1" applyFont="1"/>
  </cellXfs>
  <cellStyles count="3">
    <cellStyle name="Normal" xfId="0" builtinId="0"/>
    <cellStyle name="Output" xfId="1" builtinId="21"/>
    <cellStyle name="Percent" xfId="2" builtinId="5"/>
  </cellStyles>
  <dxfs count="40"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9" formatCode="dd/mm/yyyy"/>
    </dxf>
    <dxf>
      <numFmt numFmtId="19" formatCode="dd/mm/yyyy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3F3F3F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/>
        <bottom/>
      </border>
    </dxf>
    <dxf>
      <border outline="0">
        <top style="thin">
          <color rgb="FF3F3F3F"/>
        </top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[1.1 Excel MIS Report (Sales Entry).xlsm]Date Wise!PivotTable1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u="sng">
                <a:solidFill>
                  <a:srgbClr val="002060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Total Sales by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087421102530408E-2"/>
          <c:y val="0.13077443571785879"/>
          <c:w val="0.8917827862356662"/>
          <c:h val="0.761826239518841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'Date Wise'!$B$4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'Date Wise'!$A$5:$A$7</c:f>
              <c:strCache>
                <c:ptCount val="2"/>
                <c:pt idx="0">
                  <c:v>08-06-2023</c:v>
                </c:pt>
                <c:pt idx="1">
                  <c:v>11-06-2023</c:v>
                </c:pt>
              </c:strCache>
            </c:strRef>
          </c:cat>
          <c:val>
            <c:numRef>
              <c:f>'Date Wise'!$B$5:$B$7</c:f>
              <c:numCache>
                <c:formatCode>General</c:formatCode>
                <c:ptCount val="2"/>
                <c:pt idx="0">
                  <c:v>226566.3</c:v>
                </c:pt>
                <c:pt idx="1">
                  <c:v>83932.22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5-43ED-95EB-0189F364C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58777392"/>
        <c:axId val="158782192"/>
      </c:barChart>
      <c:catAx>
        <c:axId val="15877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82192"/>
        <c:crosses val="autoZero"/>
        <c:auto val="1"/>
        <c:lblAlgn val="ctr"/>
        <c:lblOffset val="100"/>
        <c:noMultiLvlLbl val="0"/>
      </c:catAx>
      <c:valAx>
        <c:axId val="15878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7739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534680833893141"/>
          <c:y val="0.17209275610685984"/>
          <c:w val="9.5574146981627292E-2"/>
          <c:h val="7.70094543322085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[1.1 Excel MIS Report (Sales Entry).xlsm]Item Wise!PivotTable2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IN" u="sng">
                <a:solidFill>
                  <a:srgbClr val="002060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Total Sales by Products</a:t>
            </a:r>
          </a:p>
        </c:rich>
      </c:tx>
      <c:layout>
        <c:manualLayout>
          <c:xMode val="edge"/>
          <c:yMode val="edge"/>
          <c:x val="0.40124298857515134"/>
          <c:y val="1.2043796745282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797869692106417"/>
          <c:y val="9.2175888850914989E-2"/>
          <c:w val="0.83892578880184743"/>
          <c:h val="0.8004246981766632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'Item Wise'!$B$4</c:f>
              <c:strCache>
                <c:ptCount val="1"/>
                <c:pt idx="0">
                  <c:v>Sum of 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'Item Wise'!$A$5:$A$20</c:f>
              <c:strCache>
                <c:ptCount val="15"/>
                <c:pt idx="0">
                  <c:v>Computer</c:v>
                </c:pt>
                <c:pt idx="1">
                  <c:v>Earbuds</c:v>
                </c:pt>
                <c:pt idx="2">
                  <c:v>Earphone</c:v>
                </c:pt>
                <c:pt idx="3">
                  <c:v>Keyboard</c:v>
                </c:pt>
                <c:pt idx="4">
                  <c:v>Mobile Charger</c:v>
                </c:pt>
                <c:pt idx="5">
                  <c:v>Mobile Phone</c:v>
                </c:pt>
                <c:pt idx="6">
                  <c:v>Mouse</c:v>
                </c:pt>
                <c:pt idx="7">
                  <c:v>Power Cable</c:v>
                </c:pt>
                <c:pt idx="8">
                  <c:v>Printer</c:v>
                </c:pt>
                <c:pt idx="9">
                  <c:v>Ram</c:v>
                </c:pt>
                <c:pt idx="10">
                  <c:v>USB Cable</c:v>
                </c:pt>
                <c:pt idx="11">
                  <c:v>Speaker</c:v>
                </c:pt>
                <c:pt idx="12">
                  <c:v>Web Cam</c:v>
                </c:pt>
                <c:pt idx="13">
                  <c:v>Pencil Box</c:v>
                </c:pt>
                <c:pt idx="14">
                  <c:v>Laptop</c:v>
                </c:pt>
              </c:strCache>
            </c:strRef>
          </c:cat>
          <c:val>
            <c:numRef>
              <c:f>'Item Wise'!$B$5:$B$20</c:f>
              <c:numCache>
                <c:formatCode>General</c:formatCode>
                <c:ptCount val="15"/>
                <c:pt idx="0">
                  <c:v>45000</c:v>
                </c:pt>
                <c:pt idx="1">
                  <c:v>7400</c:v>
                </c:pt>
                <c:pt idx="2">
                  <c:v>1500</c:v>
                </c:pt>
                <c:pt idx="3">
                  <c:v>3349</c:v>
                </c:pt>
                <c:pt idx="4">
                  <c:v>1450</c:v>
                </c:pt>
                <c:pt idx="5">
                  <c:v>77997</c:v>
                </c:pt>
                <c:pt idx="6">
                  <c:v>10644</c:v>
                </c:pt>
                <c:pt idx="7">
                  <c:v>4734</c:v>
                </c:pt>
                <c:pt idx="8">
                  <c:v>21000</c:v>
                </c:pt>
                <c:pt idx="9">
                  <c:v>13950</c:v>
                </c:pt>
                <c:pt idx="10">
                  <c:v>5850</c:v>
                </c:pt>
                <c:pt idx="11">
                  <c:v>2850</c:v>
                </c:pt>
                <c:pt idx="12">
                  <c:v>3130</c:v>
                </c:pt>
                <c:pt idx="13">
                  <c:v>100</c:v>
                </c:pt>
                <c:pt idx="1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E-4122-A286-831919D0513A}"/>
            </c:ext>
          </c:extLst>
        </c:ser>
        <c:ser>
          <c:idx val="1"/>
          <c:order val="1"/>
          <c:tx>
            <c:strRef>
              <c:f>'Item Wise'!$C$4</c:f>
              <c:strCache>
                <c:ptCount val="1"/>
                <c:pt idx="0">
                  <c:v>Sum of Amount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'Item Wise'!$A$5:$A$20</c:f>
              <c:strCache>
                <c:ptCount val="15"/>
                <c:pt idx="0">
                  <c:v>Computer</c:v>
                </c:pt>
                <c:pt idx="1">
                  <c:v>Earbuds</c:v>
                </c:pt>
                <c:pt idx="2">
                  <c:v>Earphone</c:v>
                </c:pt>
                <c:pt idx="3">
                  <c:v>Keyboard</c:v>
                </c:pt>
                <c:pt idx="4">
                  <c:v>Mobile Charger</c:v>
                </c:pt>
                <c:pt idx="5">
                  <c:v>Mobile Phone</c:v>
                </c:pt>
                <c:pt idx="6">
                  <c:v>Mouse</c:v>
                </c:pt>
                <c:pt idx="7">
                  <c:v>Power Cable</c:v>
                </c:pt>
                <c:pt idx="8">
                  <c:v>Printer</c:v>
                </c:pt>
                <c:pt idx="9">
                  <c:v>Ram</c:v>
                </c:pt>
                <c:pt idx="10">
                  <c:v>USB Cable</c:v>
                </c:pt>
                <c:pt idx="11">
                  <c:v>Speaker</c:v>
                </c:pt>
                <c:pt idx="12">
                  <c:v>Web Cam</c:v>
                </c:pt>
                <c:pt idx="13">
                  <c:v>Pencil Box</c:v>
                </c:pt>
                <c:pt idx="14">
                  <c:v>Laptop</c:v>
                </c:pt>
              </c:strCache>
            </c:strRef>
          </c:cat>
          <c:val>
            <c:numRef>
              <c:f>'Item Wise'!$C$5:$C$20</c:f>
              <c:numCache>
                <c:formatCode>General</c:formatCode>
                <c:ptCount val="15"/>
                <c:pt idx="0">
                  <c:v>50400</c:v>
                </c:pt>
                <c:pt idx="1">
                  <c:v>9472</c:v>
                </c:pt>
                <c:pt idx="2">
                  <c:v>1920</c:v>
                </c:pt>
                <c:pt idx="3">
                  <c:v>3951.8199999999997</c:v>
                </c:pt>
                <c:pt idx="4">
                  <c:v>1856</c:v>
                </c:pt>
                <c:pt idx="5">
                  <c:v>92036.459999999992</c:v>
                </c:pt>
                <c:pt idx="6">
                  <c:v>13099.32</c:v>
                </c:pt>
                <c:pt idx="7">
                  <c:v>6059.52</c:v>
                </c:pt>
                <c:pt idx="8">
                  <c:v>24780</c:v>
                </c:pt>
                <c:pt idx="9">
                  <c:v>16146</c:v>
                </c:pt>
                <c:pt idx="10">
                  <c:v>6903</c:v>
                </c:pt>
                <c:pt idx="11">
                  <c:v>3363</c:v>
                </c:pt>
                <c:pt idx="12">
                  <c:v>3693.3999999999996</c:v>
                </c:pt>
                <c:pt idx="13">
                  <c:v>118</c:v>
                </c:pt>
                <c:pt idx="14">
                  <c:v>76700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9E-4122-A286-831919D05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577524320"/>
        <c:axId val="577529120"/>
      </c:barChart>
      <c:catAx>
        <c:axId val="57752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29120"/>
        <c:crosses val="autoZero"/>
        <c:auto val="1"/>
        <c:lblAlgn val="ctr"/>
        <c:lblOffset val="100"/>
        <c:noMultiLvlLbl val="0"/>
      </c:catAx>
      <c:valAx>
        <c:axId val="57752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2432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36505238442939"/>
          <c:y val="3.5272677011213296E-2"/>
          <c:w val="0.23190271134910675"/>
          <c:h val="5.42377970550458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[1.1 Excel MIS Report (Sales Entry).xlsm]Salesman Wise!PivotTable3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u="sng">
                <a:solidFill>
                  <a:srgbClr val="002060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Total Sales by Salesman</a:t>
            </a:r>
          </a:p>
        </c:rich>
      </c:tx>
      <c:layout>
        <c:manualLayout>
          <c:xMode val="edge"/>
          <c:yMode val="edge"/>
          <c:x val="0.35192979410027792"/>
          <c:y val="2.92090660842009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052860358263926E-2"/>
          <c:y val="0.10256329428608356"/>
          <c:w val="0.87879585819719652"/>
          <c:h val="0.790037234208703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'Salesman Wise'!$B$4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'Salesman Wise'!$A$5:$A$13</c:f>
              <c:strCache>
                <c:ptCount val="8"/>
                <c:pt idx="0">
                  <c:v>Abdul</c:v>
                </c:pt>
                <c:pt idx="1">
                  <c:v>Ajay</c:v>
                </c:pt>
                <c:pt idx="2">
                  <c:v>Gopal</c:v>
                </c:pt>
                <c:pt idx="3">
                  <c:v>Manish</c:v>
                </c:pt>
                <c:pt idx="4">
                  <c:v>Mohan</c:v>
                </c:pt>
                <c:pt idx="5">
                  <c:v>Sachin</c:v>
                </c:pt>
                <c:pt idx="6">
                  <c:v>Sanjay</c:v>
                </c:pt>
                <c:pt idx="7">
                  <c:v>Soham</c:v>
                </c:pt>
              </c:strCache>
            </c:strRef>
          </c:cat>
          <c:val>
            <c:numRef>
              <c:f>'Salesman Wise'!$B$5:$B$13</c:f>
              <c:numCache>
                <c:formatCode>General</c:formatCode>
                <c:ptCount val="8"/>
                <c:pt idx="0">
                  <c:v>116816.45999999999</c:v>
                </c:pt>
                <c:pt idx="1">
                  <c:v>3009</c:v>
                </c:pt>
                <c:pt idx="2">
                  <c:v>12363</c:v>
                </c:pt>
                <c:pt idx="3">
                  <c:v>8760.32</c:v>
                </c:pt>
                <c:pt idx="4">
                  <c:v>58247</c:v>
                </c:pt>
                <c:pt idx="5">
                  <c:v>10266</c:v>
                </c:pt>
                <c:pt idx="6">
                  <c:v>21858.739999999998</c:v>
                </c:pt>
                <c:pt idx="7">
                  <c:v>79178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C-40E3-8FCC-F18441CC4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577543520"/>
        <c:axId val="577517120"/>
      </c:barChart>
      <c:catAx>
        <c:axId val="57754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17120"/>
        <c:crosses val="autoZero"/>
        <c:auto val="1"/>
        <c:lblAlgn val="ctr"/>
        <c:lblOffset val="100"/>
        <c:noMultiLvlLbl val="0"/>
      </c:catAx>
      <c:valAx>
        <c:axId val="57751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4352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609249556244659"/>
          <c:y val="0.10772186421506834"/>
          <c:w val="9.5232958037477278E-2"/>
          <c:h val="5.69752691294385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Radio" firstButton="1" fmlaLink="$J$8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alesman Wise'!A1"/><Relationship Id="rId2" Type="http://schemas.openxmlformats.org/officeDocument/2006/relationships/hyperlink" Target="#'Item Wise'!A1"/><Relationship Id="rId1" Type="http://schemas.openxmlformats.org/officeDocument/2006/relationships/hyperlink" Target="#'Date Wise'!A1"/><Relationship Id="rId4" Type="http://schemas.openxmlformats.org/officeDocument/2006/relationships/hyperlink" Target="#'Total Sale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'Data Entry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Data Entry'!A1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Data Entry'!A1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Data Entry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280800</xdr:colOff>
      <xdr:row>2</xdr:row>
      <xdr:rowOff>186446</xdr:rowOff>
    </xdr:from>
    <xdr:to>
      <xdr:col>11</xdr:col>
      <xdr:colOff>0</xdr:colOff>
      <xdr:row>18</xdr:row>
      <xdr:rowOff>81063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5436460" y="583659"/>
          <a:ext cx="1543136" cy="2448127"/>
          <a:chOff x="5453530" y="597645"/>
          <a:chExt cx="1475858" cy="1699801"/>
        </a:xfrm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</xdr:grpSpPr>
      <xdr:sp macro="" textlink="">
        <xdr:nvSpPr>
          <xdr:cNvPr id="5" name="Rectangle: Rounded Corners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5453530" y="597645"/>
            <a:ext cx="1440000" cy="252000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>
                <a:solidFill>
                  <a:schemeClr val="bg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Date</a:t>
            </a:r>
            <a:r>
              <a:rPr lang="en-IN" sz="1400" b="1" baseline="0">
                <a:solidFill>
                  <a:schemeClr val="bg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 Wise</a:t>
            </a:r>
            <a:endParaRPr lang="en-IN" sz="1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xdr:txBody>
      </xdr:sp>
      <xdr:sp macro="" textlink="">
        <xdr:nvSpPr>
          <xdr:cNvPr id="6" name="Rectangle: Rounded Corners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5461001" y="1080245"/>
            <a:ext cx="1440000" cy="252000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>
                <a:latin typeface="Cambria" panose="02040503050406030204" pitchFamily="18" charset="0"/>
                <a:ea typeface="Cambria" panose="02040503050406030204" pitchFamily="18" charset="0"/>
              </a:rPr>
              <a:t>Item Wise</a:t>
            </a:r>
          </a:p>
        </xdr:txBody>
      </xdr:sp>
      <xdr:sp macro="" textlink="">
        <xdr:nvSpPr>
          <xdr:cNvPr id="7" name="Rectangle: Rounded Corners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5471459" y="1562845"/>
            <a:ext cx="1440000" cy="252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>
                <a:latin typeface="Cambria" panose="02040503050406030204" pitchFamily="18" charset="0"/>
                <a:ea typeface="Cambria" panose="02040503050406030204" pitchFamily="18" charset="0"/>
              </a:rPr>
              <a:t>Sales Man Wise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489388" y="2045446"/>
            <a:ext cx="1440000" cy="252000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>
                <a:latin typeface="Cambria" panose="02040503050406030204" pitchFamily="18" charset="0"/>
                <a:ea typeface="Cambria" panose="02040503050406030204" pitchFamily="18" charset="0"/>
              </a:rPr>
              <a:t>Total</a:t>
            </a:r>
          </a:p>
        </xdr:txBody>
      </xdr:sp>
    </xdr:grpSp>
    <xdr:clientData/>
  </xdr:twoCellAnchor>
  <xdr:twoCellAnchor>
    <xdr:from>
      <xdr:col>3</xdr:col>
      <xdr:colOff>1</xdr:colOff>
      <xdr:row>17</xdr:row>
      <xdr:rowOff>25268</xdr:rowOff>
    </xdr:from>
    <xdr:to>
      <xdr:col>8</xdr:col>
      <xdr:colOff>0</xdr:colOff>
      <xdr:row>18</xdr:row>
      <xdr:rowOff>127000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964661" y="2789545"/>
          <a:ext cx="4190999" cy="288178"/>
          <a:chOff x="745066" y="2578101"/>
          <a:chExt cx="4411133" cy="288000"/>
        </a:xfrm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</xdr:grpSpPr>
      <xdr:sp macro="[0]!Macro1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745066" y="2578101"/>
            <a:ext cx="2077134" cy="2880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600" b="1">
                <a:latin typeface="Cambria" panose="02040503050406030204" pitchFamily="18" charset="0"/>
                <a:ea typeface="Cambria" panose="02040503050406030204" pitchFamily="18" charset="0"/>
              </a:rPr>
              <a:t>Submit</a:t>
            </a:r>
            <a:endParaRPr lang="en-IN" sz="1050" b="1">
              <a:latin typeface="Cambria" panose="02040503050406030204" pitchFamily="18" charset="0"/>
              <a:ea typeface="Cambria" panose="02040503050406030204" pitchFamily="18" charset="0"/>
            </a:endParaRPr>
          </a:p>
        </xdr:txBody>
      </xdr:sp>
      <xdr:sp macro="[0]!Macro2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079065" y="2578101"/>
            <a:ext cx="2077134" cy="288000"/>
          </a:xfrm>
          <a:prstGeom prst="roundRect">
            <a:avLst/>
          </a:prstGeom>
          <a:solidFill>
            <a:srgbClr val="C0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600" b="1">
                <a:latin typeface="Cambria" panose="02040503050406030204" pitchFamily="18" charset="0"/>
                <a:ea typeface="Cambria" panose="02040503050406030204" pitchFamily="18" charset="0"/>
              </a:rPr>
              <a:t>Cancel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7</xdr:col>
          <xdr:colOff>662940</xdr:colOff>
          <xdr:row>8</xdr:row>
          <xdr:rowOff>30480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333399" mc:Ignorable="a14" a14:legacySpreadsheetColorIndex="62"/>
                  </a:solidFill>
                </a14:hiddenFill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IGST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510540</xdr:colOff>
          <xdr:row>7</xdr:row>
          <xdr:rowOff>0</xdr:rowOff>
        </xdr:from>
        <xdr:to>
          <xdr:col>8</xdr:col>
          <xdr:colOff>7620</xdr:colOff>
          <xdr:row>7</xdr:row>
          <xdr:rowOff>182880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333399" mc:Ignorable="a14" a14:legacySpreadsheetColorIndex="62"/>
                  </a:solidFill>
                </a14:hiddenFill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SGST/CGST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91440</xdr:rowOff>
    </xdr:from>
    <xdr:to>
      <xdr:col>0</xdr:col>
      <xdr:colOff>662940</xdr:colOff>
      <xdr:row>2</xdr:row>
      <xdr:rowOff>68580</xdr:rowOff>
    </xdr:to>
    <xdr:sp macro="" textlink="">
      <xdr:nvSpPr>
        <xdr:cNvPr id="4" name="Arrow: Left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580" y="91440"/>
          <a:ext cx="594360" cy="342900"/>
        </a:xfrm>
        <a:prstGeom prst="lef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Back</a:t>
          </a:r>
        </a:p>
      </xdr:txBody>
    </xdr:sp>
    <xdr:clientData/>
  </xdr:twoCellAnchor>
  <xdr:twoCellAnchor>
    <xdr:from>
      <xdr:col>2</xdr:col>
      <xdr:colOff>190499</xdr:colOff>
      <xdr:row>1</xdr:row>
      <xdr:rowOff>19879</xdr:rowOff>
    </xdr:from>
    <xdr:to>
      <xdr:col>16</xdr:col>
      <xdr:colOff>53008</xdr:colOff>
      <xdr:row>19</xdr:row>
      <xdr:rowOff>92764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237374</xdr:colOff>
      <xdr:row>0</xdr:row>
      <xdr:rowOff>153939</xdr:rowOff>
    </xdr:from>
    <xdr:to>
      <xdr:col>15</xdr:col>
      <xdr:colOff>592667</xdr:colOff>
      <xdr:row>23</xdr:row>
      <xdr:rowOff>123151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53879</xdr:colOff>
      <xdr:row>0</xdr:row>
      <xdr:rowOff>38485</xdr:rowOff>
    </xdr:from>
    <xdr:to>
      <xdr:col>0</xdr:col>
      <xdr:colOff>648239</xdr:colOff>
      <xdr:row>2</xdr:row>
      <xdr:rowOff>11930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879" y="38485"/>
          <a:ext cx="594360" cy="342900"/>
        </a:xfrm>
        <a:prstGeom prst="lef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269839</xdr:colOff>
      <xdr:row>0</xdr:row>
      <xdr:rowOff>113944</xdr:rowOff>
    </xdr:from>
    <xdr:to>
      <xdr:col>16</xdr:col>
      <xdr:colOff>235009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68580</xdr:colOff>
      <xdr:row>0</xdr:row>
      <xdr:rowOff>76200</xdr:rowOff>
    </xdr:from>
    <xdr:to>
      <xdr:col>0</xdr:col>
      <xdr:colOff>662940</xdr:colOff>
      <xdr:row>2</xdr:row>
      <xdr:rowOff>53340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580" y="76200"/>
          <a:ext cx="594360" cy="342900"/>
        </a:xfrm>
        <a:prstGeom prst="lef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83820</xdr:rowOff>
    </xdr:from>
    <xdr:to>
      <xdr:col>0</xdr:col>
      <xdr:colOff>670560</xdr:colOff>
      <xdr:row>2</xdr:row>
      <xdr:rowOff>60960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6200" y="83820"/>
          <a:ext cx="594360" cy="342900"/>
        </a:xfrm>
        <a:prstGeom prst="lef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Back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ulkadar Kapasi" refreshedDate="45088.712692476853" createdVersion="8" refreshedVersion="8" minRefreshableVersion="3" recordCount="20" xr:uid="{88E196CE-3F05-45D4-9C16-D26EA9BC6981}">
  <cacheSource type="worksheet">
    <worksheetSource name="Table2"/>
  </cacheSource>
  <cacheFields count="11">
    <cacheField name="Invoice No." numFmtId="0">
      <sharedItems/>
    </cacheField>
    <cacheField name="Date" numFmtId="14">
      <sharedItems containsSemiMixedTypes="0" containsNonDate="0" containsDate="1" containsString="0" minDate="2023-06-08T00:00:00" maxDate="2023-06-12T00:00:00" count="2">
        <d v="2023-06-08T00:00:00"/>
        <d v="2023-06-11T00:00:00"/>
      </sharedItems>
    </cacheField>
    <cacheField name="Item" numFmtId="0">
      <sharedItems count="15">
        <s v="Mouse"/>
        <s v="Ram"/>
        <s v="Keyboard"/>
        <s v="Printer"/>
        <s v="USB Cable"/>
        <s v="Mobile Phone"/>
        <s v="Power Cable"/>
        <s v="Earphone"/>
        <s v="Earbuds"/>
        <s v="Mobile Charger"/>
        <s v="Computer"/>
        <s v="Speaker"/>
        <s v="Web Cam"/>
        <s v="Pencil Box"/>
        <s v="Laptop"/>
      </sharedItems>
    </cacheField>
    <cacheField name="Item code" numFmtId="0">
      <sharedItems/>
    </cacheField>
    <cacheField name="Price" numFmtId="0">
      <sharedItems containsSemiMixedTypes="0" containsString="0" containsNumber="1" containsInteger="1" minValue="100" maxValue="65000"/>
    </cacheField>
    <cacheField name="Qty" numFmtId="0">
      <sharedItems containsSemiMixedTypes="0" containsString="0" containsNumber="1" containsInteger="1" minValue="1" maxValue="7"/>
    </cacheField>
    <cacheField name="Total" numFmtId="0">
      <sharedItems containsSemiMixedTypes="0" containsString="0" containsNumber="1" containsInteger="1" minValue="100" maxValue="77997"/>
    </cacheField>
    <cacheField name="GST Type" numFmtId="0">
      <sharedItems/>
    </cacheField>
    <cacheField name="GST (%)" numFmtId="9">
      <sharedItems containsSemiMixedTypes="0" containsString="0" containsNumber="1" minValue="0.12" maxValue="0.28000000000000003"/>
    </cacheField>
    <cacheField name="Amount" numFmtId="0">
      <sharedItems containsSemiMixedTypes="0" containsString="0" containsNumber="1" minValue="118" maxValue="92036.459999999992"/>
    </cacheField>
    <cacheField name="Saleman" numFmtId="0">
      <sharedItems count="8">
        <s v="Mohan"/>
        <s v="Sachin"/>
        <s v="Ajay"/>
        <s v="Abdul"/>
        <s v="Gopal"/>
        <s v="Sanjay"/>
        <s v="Manish"/>
        <s v="Soha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s v="Mo-Moh-1000"/>
    <x v="0"/>
    <x v="0"/>
    <s v="Mo-Moh"/>
    <n v="450"/>
    <n v="7"/>
    <n v="3150"/>
    <s v="SGST/CGST"/>
    <n v="0.18"/>
    <n v="3717"/>
    <x v="0"/>
  </r>
  <r>
    <s v="Ra-Sac-1001"/>
    <x v="0"/>
    <x v="1"/>
    <s v="Ra-Sac"/>
    <n v="1450"/>
    <n v="6"/>
    <n v="8700"/>
    <s v="SGST/CGST"/>
    <n v="0.18"/>
    <n v="10266"/>
    <x v="1"/>
  </r>
  <r>
    <s v="Ke-Aja-1002"/>
    <x v="0"/>
    <x v="2"/>
    <s v="Ke-Aja"/>
    <n v="1275"/>
    <n v="2"/>
    <n v="2550"/>
    <s v="SGST/CGST"/>
    <n v="0.18"/>
    <n v="3009"/>
    <x v="2"/>
  </r>
  <r>
    <s v="Pr-Abd-1003"/>
    <x v="0"/>
    <x v="3"/>
    <s v="Pr-Abd"/>
    <n v="10500"/>
    <n v="2"/>
    <n v="21000"/>
    <s v="SGST/CGST"/>
    <n v="0.18"/>
    <n v="24780"/>
    <x v="3"/>
  </r>
  <r>
    <s v="US-Gop-1004"/>
    <x v="0"/>
    <x v="4"/>
    <s v="US-Gop"/>
    <n v="350"/>
    <n v="7"/>
    <n v="2450"/>
    <s v="SGST/CGST"/>
    <n v="0.18"/>
    <n v="2891"/>
    <x v="4"/>
  </r>
  <r>
    <s v="Mo-Abd-1005"/>
    <x v="0"/>
    <x v="5"/>
    <s v="Mo-Abd"/>
    <n v="25999"/>
    <n v="3"/>
    <n v="77997"/>
    <s v="SGST/CGST"/>
    <n v="0.18"/>
    <n v="92036.459999999992"/>
    <x v="3"/>
  </r>
  <r>
    <s v="Po-San-1006"/>
    <x v="0"/>
    <x v="6"/>
    <s v="Po-San"/>
    <n v="789"/>
    <n v="6"/>
    <n v="4734"/>
    <s v="SGST/CGST"/>
    <n v="0.28000000000000003"/>
    <n v="6059.52"/>
    <x v="5"/>
  </r>
  <r>
    <s v="Mo-Man-1007"/>
    <x v="0"/>
    <x v="0"/>
    <s v="Mo-Man"/>
    <n v="899"/>
    <n v="6"/>
    <n v="5394"/>
    <s v="IGST"/>
    <n v="0.28000000000000003"/>
    <n v="6904.32"/>
    <x v="6"/>
  </r>
  <r>
    <s v="Ea-San-1008"/>
    <x v="0"/>
    <x v="7"/>
    <s v="Ea-San"/>
    <n v="750"/>
    <n v="2"/>
    <n v="1500"/>
    <s v="IGST"/>
    <n v="0.28000000000000003"/>
    <n v="1920"/>
    <x v="5"/>
  </r>
  <r>
    <s v="Ea-Gop-1009"/>
    <x v="0"/>
    <x v="8"/>
    <s v="Ea-Gop"/>
    <n v="1850"/>
    <n v="4"/>
    <n v="7400"/>
    <s v="IGST"/>
    <n v="0.28000000000000003"/>
    <n v="9472"/>
    <x v="4"/>
  </r>
  <r>
    <s v="Mo-Man-1010"/>
    <x v="0"/>
    <x v="9"/>
    <s v="Mo-Man"/>
    <n v="1450"/>
    <n v="1"/>
    <n v="1450"/>
    <s v="IGST"/>
    <n v="0.28000000000000003"/>
    <n v="1856"/>
    <x v="6"/>
  </r>
  <r>
    <s v="Ra-San-1011"/>
    <x v="0"/>
    <x v="1"/>
    <s v="Ra-San"/>
    <n v="1750"/>
    <n v="3"/>
    <n v="5250"/>
    <s v="IGST"/>
    <n v="0.12"/>
    <n v="5880"/>
    <x v="5"/>
  </r>
  <r>
    <s v="Co-Moh-1012"/>
    <x v="0"/>
    <x v="10"/>
    <s v="Co-Moh"/>
    <n v="45000"/>
    <n v="1"/>
    <n v="45000"/>
    <s v="IGST"/>
    <n v="0.12"/>
    <n v="50400"/>
    <x v="0"/>
  </r>
  <r>
    <s v="Sp-San-1013"/>
    <x v="0"/>
    <x v="11"/>
    <s v="Sp-San"/>
    <n v="950"/>
    <n v="3"/>
    <n v="2850"/>
    <s v="IGST"/>
    <n v="0.18"/>
    <n v="3363"/>
    <x v="5"/>
  </r>
  <r>
    <s v="US-Moh-1014"/>
    <x v="0"/>
    <x v="4"/>
    <s v="US-Moh"/>
    <n v="850"/>
    <n v="4"/>
    <n v="3400"/>
    <s v="IGST"/>
    <n v="0.18"/>
    <n v="4012"/>
    <x v="0"/>
  </r>
  <r>
    <s v="Mo-Soh-1015"/>
    <x v="1"/>
    <x v="0"/>
    <s v="Mo-Soh"/>
    <n v="350"/>
    <n v="6"/>
    <n v="2100"/>
    <s v="SGST/CGST"/>
    <n v="0.18"/>
    <n v="2478"/>
    <x v="7"/>
  </r>
  <r>
    <s v="We-San-1016"/>
    <x v="1"/>
    <x v="12"/>
    <s v="We-San"/>
    <n v="1565"/>
    <n v="2"/>
    <n v="3130"/>
    <s v="SGST/CGST"/>
    <n v="0.18"/>
    <n v="3693.3999999999996"/>
    <x v="5"/>
  </r>
  <r>
    <s v="Pe-Moh-1017"/>
    <x v="1"/>
    <x v="13"/>
    <s v="Pe-Moh"/>
    <n v="100"/>
    <n v="1"/>
    <n v="100"/>
    <s v="SGST/CGST"/>
    <n v="0.18"/>
    <n v="118"/>
    <x v="0"/>
  </r>
  <r>
    <s v="Ke-San-1018"/>
    <x v="1"/>
    <x v="2"/>
    <s v="Ke-San"/>
    <n v="799"/>
    <n v="1"/>
    <n v="799"/>
    <s v="IGST"/>
    <n v="0.18"/>
    <n v="942.81999999999994"/>
    <x v="5"/>
  </r>
  <r>
    <s v="La-Soh-1019"/>
    <x v="1"/>
    <x v="14"/>
    <s v="La-Soh"/>
    <n v="65000"/>
    <n v="1"/>
    <n v="65000"/>
    <s v="SGST/CGST"/>
    <n v="0.18"/>
    <n v="76700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5C2066-9F36-411B-A69B-BC4A5C82A687}" name="PivotTable1" cacheId="14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Date">
  <location ref="A4:B7" firstHeaderRow="1" firstDataRow="1" firstDataCol="1"/>
  <pivotFields count="11">
    <pivotField showAll="0"/>
    <pivotField axis="axisRow" numFmtId="164" showAll="0" defaultSubtotal="0">
      <items count="2">
        <item x="0"/>
        <item x="1"/>
      </items>
    </pivotField>
    <pivotField showAll="0"/>
    <pivotField showAll="0"/>
    <pivotField showAll="0"/>
    <pivotField showAll="0"/>
    <pivotField showAll="0"/>
    <pivotField showAll="0"/>
    <pivotField numFmtId="9" showAll="0"/>
    <pivotField dataField="1"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Amount" fld="9" baseField="0" baseItem="0"/>
  </dataFields>
  <formats count="9">
    <format dxfId="39">
      <pivotArea field="1" type="button" dataOnly="0" labelOnly="1" outline="0" axis="axisRow" fieldPosition="0"/>
    </format>
    <format dxfId="38">
      <pivotArea dataOnly="0" labelOnly="1" grandRow="1" outline="0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1" type="button" dataOnly="0" labelOnly="1" outline="0" axis="axisRow" fieldPosition="0"/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field="1" type="button" dataOnly="0" labelOnly="1" outline="0" axis="axisRow" fieldPosition="0"/>
    </format>
    <format dxfId="31">
      <pivotArea dataOnly="0" labelOnly="1" outline="0" axis="axisValues" fieldPosition="0"/>
    </format>
  </format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55FDF9-18D3-47D2-A0DF-0CEFFA060340}" name="PivotTable2" cacheId="14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Items">
  <location ref="A4:C20" firstHeaderRow="0" firstDataRow="1" firstDataCol="1"/>
  <pivotFields count="11">
    <pivotField showAll="0"/>
    <pivotField showAll="0"/>
    <pivotField axis="axisRow" showAll="0">
      <items count="16">
        <item x="10"/>
        <item x="8"/>
        <item x="7"/>
        <item x="2"/>
        <item x="9"/>
        <item x="5"/>
        <item x="0"/>
        <item x="6"/>
        <item x="3"/>
        <item x="1"/>
        <item x="4"/>
        <item x="11"/>
        <item x="12"/>
        <item x="13"/>
        <item x="14"/>
        <item t="default"/>
      </items>
    </pivotField>
    <pivotField showAll="0"/>
    <pivotField showAll="0"/>
    <pivotField showAll="0"/>
    <pivotField dataField="1" showAll="0"/>
    <pivotField showAll="0"/>
    <pivotField numFmtId="9" showAll="0"/>
    <pivotField dataField="1" showAll="0"/>
    <pivotField showAll="0"/>
  </pivotFields>
  <rowFields count="1">
    <field x="2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" fld="6" baseField="0" baseItem="0"/>
    <dataField name="Sum of Amount" fld="9" baseField="0" baseItem="0"/>
  </dataFields>
  <formats count="2">
    <format dxfId="30">
      <pivotArea field="2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CE5AE3-F267-4D9D-883F-8C5D6EAC7061}" name="PivotTable3" cacheId="14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Sales Man">
  <location ref="A4:B13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dataField="1" showAll="0"/>
    <pivotField axis="axisRow" showAll="0">
      <items count="9">
        <item x="3"/>
        <item x="2"/>
        <item x="4"/>
        <item x="6"/>
        <item x="0"/>
        <item x="1"/>
        <item x="5"/>
        <item x="7"/>
        <item t="default"/>
      </items>
    </pivotField>
  </pivotFields>
  <rowFields count="1">
    <field x="1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Amount" fld="9" baseField="0" baseItem="0"/>
  </dataFields>
  <formats count="2">
    <format dxfId="28">
      <pivotArea field="10" type="button" dataOnly="0" labelOnly="1" outline="0" axis="axisRow" fieldPosition="0"/>
    </format>
    <format dxfId="2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89EED-4B17-4174-889C-C0BE40258D68}" name="PivotTable4" cacheId="14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Sales Man">
  <location ref="A6:C39" firstHeaderRow="0" firstDataRow="1" firstDataCol="1" rowPageCount="1" colPageCount="1"/>
  <pivotFields count="11">
    <pivotField showAll="0"/>
    <pivotField axis="axisRow" numFmtId="164" showAll="0" defaultSubtotal="0">
      <items count="2">
        <item x="0"/>
        <item x="1"/>
      </items>
    </pivotField>
    <pivotField axis="axisRow" multipleItemSelectionAllowed="1" showAll="0">
      <items count="16">
        <item x="10"/>
        <item x="8"/>
        <item x="7"/>
        <item x="2"/>
        <item x="9"/>
        <item x="5"/>
        <item x="0"/>
        <item x="6"/>
        <item x="3"/>
        <item x="1"/>
        <item x="4"/>
        <item x="11"/>
        <item x="12"/>
        <item x="13"/>
        <item x="14"/>
        <item t="default"/>
      </items>
    </pivotField>
    <pivotField showAll="0"/>
    <pivotField showAll="0"/>
    <pivotField showAll="0"/>
    <pivotField dataField="1" showAll="0"/>
    <pivotField showAll="0"/>
    <pivotField numFmtId="9" showAll="0"/>
    <pivotField dataField="1" showAll="0"/>
    <pivotField axis="axisPage" showAll="0">
      <items count="9">
        <item x="3"/>
        <item x="2"/>
        <item x="4"/>
        <item x="6"/>
        <item x="0"/>
        <item x="1"/>
        <item x="5"/>
        <item x="7"/>
        <item t="default"/>
      </items>
    </pivotField>
  </pivotFields>
  <rowFields count="2">
    <field x="2"/>
    <field x="1"/>
  </rowFields>
  <rowItems count="33">
    <i>
      <x/>
    </i>
    <i r="1">
      <x/>
    </i>
    <i>
      <x v="1"/>
    </i>
    <i r="1">
      <x/>
    </i>
    <i>
      <x v="2"/>
    </i>
    <i r="1">
      <x/>
    </i>
    <i>
      <x v="3"/>
    </i>
    <i r="1">
      <x/>
    </i>
    <i r="1">
      <x v="1"/>
    </i>
    <i>
      <x v="4"/>
    </i>
    <i r="1">
      <x/>
    </i>
    <i>
      <x v="5"/>
    </i>
    <i r="1">
      <x/>
    </i>
    <i>
      <x v="6"/>
    </i>
    <i r="1">
      <x/>
    </i>
    <i r="1">
      <x v="1"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/>
    </i>
    <i>
      <x v="12"/>
    </i>
    <i r="1">
      <x v="1"/>
    </i>
    <i>
      <x v="13"/>
    </i>
    <i r="1">
      <x v="1"/>
    </i>
    <i>
      <x v="14"/>
    </i>
    <i r="1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Sum of Total" fld="6" baseField="0" baseItem="0"/>
    <dataField name="Sum of Amount" fld="9" baseField="0" baseItem="0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8A4470-1B34-460E-BBEF-FB74FA060EE9}" name="Table2" displayName="Table2" ref="A3:K23" totalsRowShown="0" headerRowDxfId="25" dataDxfId="15" tableBorderDxfId="26" headerRowCellStyle="Output">
  <autoFilter ref="A3:K23" xr:uid="{FE8A4470-1B34-460E-BBEF-FB74FA060EE9}"/>
  <tableColumns count="11">
    <tableColumn id="1" xr3:uid="{6C226733-FCFA-4325-9F08-70904F90FD04}" name="Invoice No." dataDxfId="24"/>
    <tableColumn id="2" xr3:uid="{0F8B2FC5-0E8D-4C50-B764-BC8E4C2E3CF4}" name="Date" dataDxfId="13"/>
    <tableColumn id="3" xr3:uid="{2B8CEC71-C2CA-455A-B500-B48D96F318EF}" name="Item" dataDxfId="14"/>
    <tableColumn id="4" xr3:uid="{EF4243FE-127E-4FCF-BF35-57F59DDAEAA3}" name="Item code" dataDxfId="23"/>
    <tableColumn id="5" xr3:uid="{12494160-1F45-4A4B-B30F-311CB7A4FEC6}" name="Price" dataDxfId="22"/>
    <tableColumn id="6" xr3:uid="{5D0657BA-587D-4EDF-BDAA-6A50C780649F}" name="Qty" dataDxfId="21"/>
    <tableColumn id="7" xr3:uid="{543192AA-C445-4A01-9CE8-172FA9BBBA6E}" name="Total" dataDxfId="20"/>
    <tableColumn id="8" xr3:uid="{0755DAC2-C2F2-46D4-9540-C57D92C12559}" name="GST Type" dataDxfId="19"/>
    <tableColumn id="9" xr3:uid="{F64C1BDE-5278-482D-8775-5002E5813FB7}" name="GST (%)" dataDxfId="18"/>
    <tableColumn id="10" xr3:uid="{B318BB75-C55A-482C-9189-D38C059A9D67}" name="Amount" dataDxfId="17"/>
    <tableColumn id="11" xr3:uid="{C66C9699-3533-488F-A72E-89C5DE8D6064}" name="Saleman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4AC2-4F30-4578-9E25-FE6CBCA5E56F}">
  <sheetPr codeName="Sheet1"/>
  <dimension ref="A1:L36"/>
  <sheetViews>
    <sheetView showGridLines="0" tabSelected="1" zoomScale="94" zoomScaleNormal="94" workbookViewId="0">
      <selection activeCell="B17" sqref="B17"/>
    </sheetView>
  </sheetViews>
  <sheetFormatPr defaultColWidth="0" defaultRowHeight="14.4" zeroHeight="1" x14ac:dyDescent="0.3"/>
  <cols>
    <col min="1" max="1" width="2.33203125" customWidth="1"/>
    <col min="2" max="2" width="8.88671875" customWidth="1"/>
    <col min="3" max="3" width="2.88671875" customWidth="1"/>
    <col min="4" max="4" width="17.21875" customWidth="1"/>
    <col min="5" max="5" width="8.88671875" customWidth="1"/>
    <col min="6" max="6" width="11.33203125" bestFit="1" customWidth="1"/>
    <col min="7" max="7" width="2.44140625" customWidth="1"/>
    <col min="8" max="8" width="21.109375" customWidth="1"/>
    <col min="9" max="12" width="8.88671875" customWidth="1"/>
    <col min="13" max="16384" width="8.88671875" hidden="1"/>
  </cols>
  <sheetData>
    <row r="1" spans="2:11" ht="10.199999999999999" customHeight="1" x14ac:dyDescent="0.3"/>
    <row r="2" spans="2:11" ht="21" x14ac:dyDescent="0.3">
      <c r="B2" s="14" t="s">
        <v>1</v>
      </c>
      <c r="C2" s="15"/>
      <c r="D2" s="16"/>
      <c r="E2" s="16"/>
      <c r="F2" s="16"/>
      <c r="G2" s="16"/>
      <c r="H2" s="16"/>
      <c r="I2" s="16"/>
      <c r="J2" s="16"/>
      <c r="K2" s="16"/>
    </row>
    <row r="3" spans="2:11" x14ac:dyDescent="0.3">
      <c r="H3" s="4">
        <v>1020</v>
      </c>
    </row>
    <row r="4" spans="2:11" ht="15.6" x14ac:dyDescent="0.3">
      <c r="B4" s="2" t="s">
        <v>2</v>
      </c>
      <c r="C4" s="2" t="s">
        <v>8</v>
      </c>
      <c r="D4" s="42">
        <f ca="1">TODAY()</f>
        <v>45088</v>
      </c>
      <c r="F4" s="2" t="s">
        <v>9</v>
      </c>
      <c r="G4" s="2" t="s">
        <v>8</v>
      </c>
      <c r="H4" s="44" t="str">
        <f>H6&amp;"-"&amp;H3</f>
        <v>-1020</v>
      </c>
    </row>
    <row r="5" spans="2:11" ht="8.4" customHeight="1" x14ac:dyDescent="0.3">
      <c r="B5" s="2"/>
      <c r="C5" s="3"/>
      <c r="D5" s="43"/>
      <c r="F5" s="2"/>
      <c r="G5" s="3"/>
      <c r="H5" s="43"/>
    </row>
    <row r="6" spans="2:11" ht="15.6" x14ac:dyDescent="0.3">
      <c r="B6" s="2" t="s">
        <v>3</v>
      </c>
      <c r="C6" s="2" t="s">
        <v>8</v>
      </c>
      <c r="D6" s="44"/>
      <c r="F6" s="2" t="s">
        <v>10</v>
      </c>
      <c r="G6" s="2" t="s">
        <v>8</v>
      </c>
      <c r="H6" s="44" t="str">
        <f>IF(D6 &lt;&gt; "",LEFT(D6,2)&amp; "-"&amp;LEFT(H16,3),"")</f>
        <v/>
      </c>
    </row>
    <row r="7" spans="2:11" ht="8.4" customHeight="1" x14ac:dyDescent="0.3">
      <c r="B7" s="2"/>
      <c r="C7" s="3"/>
      <c r="D7" s="43"/>
      <c r="F7" s="2"/>
      <c r="G7" s="3"/>
    </row>
    <row r="8" spans="2:11" ht="15.6" x14ac:dyDescent="0.3">
      <c r="B8" s="2" t="s">
        <v>4</v>
      </c>
      <c r="C8" s="2" t="s">
        <v>8</v>
      </c>
      <c r="D8" s="44"/>
      <c r="F8" s="2" t="s">
        <v>11</v>
      </c>
      <c r="G8" s="2" t="s">
        <v>8</v>
      </c>
      <c r="J8" s="4">
        <v>2</v>
      </c>
    </row>
    <row r="9" spans="2:11" ht="8.4" customHeight="1" x14ac:dyDescent="0.3">
      <c r="B9" s="2"/>
      <c r="C9" s="3"/>
      <c r="D9" s="43"/>
      <c r="F9" s="2"/>
      <c r="G9" s="3"/>
      <c r="H9" s="46"/>
    </row>
    <row r="10" spans="2:11" ht="15.6" x14ac:dyDescent="0.3">
      <c r="B10" s="2" t="s">
        <v>7</v>
      </c>
      <c r="C10" s="2" t="s">
        <v>8</v>
      </c>
      <c r="D10" s="44"/>
      <c r="F10" s="2" t="str">
        <f>IF(J8 = 1,"IGST","SGST")</f>
        <v>SGST</v>
      </c>
      <c r="G10" s="2" t="s">
        <v>8</v>
      </c>
      <c r="H10" s="44">
        <f>IF(F10 = "IGST",D12*D14,D12*D14/2)</f>
        <v>0</v>
      </c>
    </row>
    <row r="11" spans="2:11" ht="8.4" customHeight="1" x14ac:dyDescent="0.3">
      <c r="B11" s="2"/>
      <c r="C11" s="3"/>
      <c r="D11" s="43"/>
      <c r="F11" s="2"/>
      <c r="G11" s="3"/>
      <c r="H11" s="43"/>
    </row>
    <row r="12" spans="2:11" ht="15.6" x14ac:dyDescent="0.3">
      <c r="B12" s="2" t="s">
        <v>5</v>
      </c>
      <c r="C12" s="2" t="s">
        <v>8</v>
      </c>
      <c r="D12" s="44">
        <f>PRODUCT(D8,D10)</f>
        <v>0</v>
      </c>
      <c r="F12" s="2" t="str">
        <f>IF(J8 = 2, "CGST","")</f>
        <v>CGST</v>
      </c>
      <c r="G12" s="2" t="s">
        <v>8</v>
      </c>
      <c r="H12" s="44">
        <f>IF(F12 = "CGST", D12*D14/2,"")</f>
        <v>0</v>
      </c>
    </row>
    <row r="13" spans="2:11" ht="8.4" customHeight="1" x14ac:dyDescent="0.3">
      <c r="B13" s="2"/>
      <c r="C13" s="3"/>
      <c r="D13" s="43"/>
      <c r="F13" s="2"/>
      <c r="G13" s="3"/>
      <c r="H13" s="43"/>
    </row>
    <row r="14" spans="2:11" ht="15.6" x14ac:dyDescent="0.3">
      <c r="B14" s="2" t="s">
        <v>6</v>
      </c>
      <c r="C14" s="2" t="s">
        <v>8</v>
      </c>
      <c r="D14" s="45">
        <v>0.18</v>
      </c>
      <c r="F14" s="2" t="s">
        <v>0</v>
      </c>
      <c r="G14" s="2" t="s">
        <v>8</v>
      </c>
      <c r="H14" s="44">
        <f>IF(F10 = "IGST",D12+H10,D12+H10+H12)</f>
        <v>0</v>
      </c>
    </row>
    <row r="15" spans="2:11" ht="8.4" customHeight="1" x14ac:dyDescent="0.3">
      <c r="H15" s="43"/>
    </row>
    <row r="16" spans="2:11" ht="15.6" x14ac:dyDescent="0.3">
      <c r="F16" s="1" t="s">
        <v>12</v>
      </c>
      <c r="G16" s="2" t="s">
        <v>8</v>
      </c>
      <c r="H16" s="44"/>
    </row>
    <row r="17" x14ac:dyDescent="0.3"/>
    <row r="18" x14ac:dyDescent="0.3"/>
    <row r="19" x14ac:dyDescent="0.3"/>
    <row r="20" x14ac:dyDescent="0.3"/>
    <row r="21" ht="14.4" hidden="1" customHeight="1" x14ac:dyDescent="0.3"/>
    <row r="35" spans="1:11" s="5" customFormat="1" hidden="1" x14ac:dyDescent="0.3">
      <c r="A35" s="5" t="s">
        <v>15</v>
      </c>
      <c r="B35" s="5" t="s">
        <v>2</v>
      </c>
      <c r="C35" s="5" t="s">
        <v>3</v>
      </c>
      <c r="D35" s="5" t="s">
        <v>13</v>
      </c>
      <c r="E35" s="5" t="s">
        <v>4</v>
      </c>
      <c r="F35" s="5" t="s">
        <v>7</v>
      </c>
      <c r="G35" s="5" t="s">
        <v>5</v>
      </c>
      <c r="H35" s="5" t="s">
        <v>16</v>
      </c>
      <c r="I35" s="5" t="s">
        <v>6</v>
      </c>
      <c r="J35" s="5" t="s">
        <v>0</v>
      </c>
      <c r="K35" s="5" t="s">
        <v>17</v>
      </c>
    </row>
    <row r="36" spans="1:11" hidden="1" x14ac:dyDescent="0.3">
      <c r="B36" s="6"/>
      <c r="I36" s="7"/>
    </row>
  </sheetData>
  <mergeCells count="1">
    <mergeCell ref="B2:K2"/>
  </mergeCells>
  <dataValidations count="1">
    <dataValidation type="list" allowBlank="1" showInputMessage="1" showErrorMessage="1" errorTitle="Invalid Input" error="Please select from the dropdown menu" sqref="D14" xr:uid="{37DCB1E5-9EA0-47F8-9763-ACE35441A86F}">
      <formula1>"5%, 12%, 18%, 28%"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7</xdr:col>
                    <xdr:colOff>662940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>
                <anchor moveWithCells="1">
                  <from>
                    <xdr:col>7</xdr:col>
                    <xdr:colOff>510540</xdr:colOff>
                    <xdr:row>7</xdr:row>
                    <xdr:rowOff>0</xdr:rowOff>
                  </from>
                  <to>
                    <xdr:col>8</xdr:col>
                    <xdr:colOff>7620</xdr:colOff>
                    <xdr:row>7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0313-BCF3-445C-8D93-EC42EFDF52C2}">
  <sheetPr codeName="Sheet2"/>
  <dimension ref="A1:K23"/>
  <sheetViews>
    <sheetView topLeftCell="A10" zoomScale="104" workbookViewId="0">
      <selection activeCell="D30" sqref="D30"/>
    </sheetView>
  </sheetViews>
  <sheetFormatPr defaultRowHeight="14.4" x14ac:dyDescent="0.3"/>
  <cols>
    <col min="1" max="1" width="19.6640625" customWidth="1"/>
    <col min="2" max="2" width="13.44140625" style="6" customWidth="1"/>
    <col min="3" max="3" width="16.6640625" customWidth="1"/>
    <col min="4" max="4" width="13.44140625" customWidth="1"/>
    <col min="5" max="5" width="14.21875" customWidth="1"/>
    <col min="6" max="6" width="9.33203125" customWidth="1"/>
    <col min="7" max="7" width="13.109375" customWidth="1"/>
    <col min="8" max="8" width="21.44140625" customWidth="1"/>
    <col min="9" max="9" width="11.109375" style="8" customWidth="1"/>
    <col min="10" max="10" width="14" customWidth="1"/>
    <col min="11" max="11" width="19.21875" customWidth="1"/>
  </cols>
  <sheetData>
    <row r="1" spans="1:11" ht="18" x14ac:dyDescent="0.3">
      <c r="B1" s="38" t="s">
        <v>18</v>
      </c>
      <c r="C1" s="38"/>
      <c r="D1" s="38"/>
      <c r="E1" s="38"/>
      <c r="F1" s="38"/>
      <c r="G1" s="38"/>
      <c r="H1" s="38"/>
      <c r="I1" s="38"/>
      <c r="J1" s="38"/>
    </row>
    <row r="3" spans="1:11" ht="15.6" x14ac:dyDescent="0.3">
      <c r="A3" s="39" t="s">
        <v>9</v>
      </c>
      <c r="B3" s="48" t="s">
        <v>2</v>
      </c>
      <c r="C3" s="39" t="s">
        <v>3</v>
      </c>
      <c r="D3" s="39" t="s">
        <v>13</v>
      </c>
      <c r="E3" s="39" t="s">
        <v>4</v>
      </c>
      <c r="F3" s="39" t="s">
        <v>7</v>
      </c>
      <c r="G3" s="39" t="s">
        <v>5</v>
      </c>
      <c r="H3" s="39" t="s">
        <v>16</v>
      </c>
      <c r="I3" s="40" t="s">
        <v>19</v>
      </c>
      <c r="J3" s="39" t="s">
        <v>0</v>
      </c>
      <c r="K3" s="41" t="s">
        <v>14</v>
      </c>
    </row>
    <row r="4" spans="1:11" x14ac:dyDescent="0.3">
      <c r="A4" s="25" t="s">
        <v>24</v>
      </c>
      <c r="B4" s="49">
        <v>45085</v>
      </c>
      <c r="C4" s="26" t="s">
        <v>22</v>
      </c>
      <c r="D4" s="26" t="s">
        <v>25</v>
      </c>
      <c r="E4" s="26">
        <v>450</v>
      </c>
      <c r="F4" s="26">
        <v>7</v>
      </c>
      <c r="G4" s="26">
        <v>3150</v>
      </c>
      <c r="H4" s="26" t="s">
        <v>20</v>
      </c>
      <c r="I4" s="27">
        <v>0.18</v>
      </c>
      <c r="J4" s="26">
        <v>3717</v>
      </c>
      <c r="K4" s="28" t="s">
        <v>23</v>
      </c>
    </row>
    <row r="5" spans="1:11" x14ac:dyDescent="0.3">
      <c r="A5" s="29" t="s">
        <v>28</v>
      </c>
      <c r="B5" s="50">
        <v>45085</v>
      </c>
      <c r="C5" s="30" t="s">
        <v>26</v>
      </c>
      <c r="D5" s="30" t="s">
        <v>29</v>
      </c>
      <c r="E5" s="30">
        <v>1450</v>
      </c>
      <c r="F5" s="30">
        <v>6</v>
      </c>
      <c r="G5" s="30">
        <v>8700</v>
      </c>
      <c r="H5" s="30" t="s">
        <v>20</v>
      </c>
      <c r="I5" s="31">
        <v>0.18</v>
      </c>
      <c r="J5" s="30">
        <v>10266</v>
      </c>
      <c r="K5" s="32" t="s">
        <v>27</v>
      </c>
    </row>
    <row r="6" spans="1:11" x14ac:dyDescent="0.3">
      <c r="A6" s="33" t="s">
        <v>32</v>
      </c>
      <c r="B6" s="51">
        <v>45085</v>
      </c>
      <c r="C6" s="34" t="s">
        <v>30</v>
      </c>
      <c r="D6" s="34" t="s">
        <v>33</v>
      </c>
      <c r="E6" s="34">
        <v>1275</v>
      </c>
      <c r="F6" s="34">
        <v>2</v>
      </c>
      <c r="G6" s="34">
        <v>2550</v>
      </c>
      <c r="H6" s="34" t="s">
        <v>20</v>
      </c>
      <c r="I6" s="35">
        <v>0.18</v>
      </c>
      <c r="J6" s="34">
        <v>3009</v>
      </c>
      <c r="K6" s="36" t="s">
        <v>31</v>
      </c>
    </row>
    <row r="7" spans="1:11" x14ac:dyDescent="0.3">
      <c r="A7" s="29" t="s">
        <v>36</v>
      </c>
      <c r="B7" s="50">
        <v>45085</v>
      </c>
      <c r="C7" s="30" t="s">
        <v>34</v>
      </c>
      <c r="D7" s="30" t="s">
        <v>37</v>
      </c>
      <c r="E7" s="30">
        <v>10500</v>
      </c>
      <c r="F7" s="30">
        <v>2</v>
      </c>
      <c r="G7" s="30">
        <v>21000</v>
      </c>
      <c r="H7" s="30" t="s">
        <v>20</v>
      </c>
      <c r="I7" s="31">
        <v>0.18</v>
      </c>
      <c r="J7" s="30">
        <v>24780</v>
      </c>
      <c r="K7" s="32" t="s">
        <v>35</v>
      </c>
    </row>
    <row r="8" spans="1:11" x14ac:dyDescent="0.3">
      <c r="A8" s="33" t="s">
        <v>39</v>
      </c>
      <c r="B8" s="51">
        <v>45085</v>
      </c>
      <c r="C8" s="34" t="s">
        <v>38</v>
      </c>
      <c r="D8" s="34" t="s">
        <v>40</v>
      </c>
      <c r="E8" s="34">
        <v>350</v>
      </c>
      <c r="F8" s="34">
        <v>7</v>
      </c>
      <c r="G8" s="34">
        <v>2450</v>
      </c>
      <c r="H8" s="34" t="s">
        <v>20</v>
      </c>
      <c r="I8" s="35">
        <v>0.18</v>
      </c>
      <c r="J8" s="34">
        <v>2891</v>
      </c>
      <c r="K8" s="36" t="s">
        <v>21</v>
      </c>
    </row>
    <row r="9" spans="1:11" x14ac:dyDescent="0.3">
      <c r="A9" s="29" t="s">
        <v>42</v>
      </c>
      <c r="B9" s="50">
        <v>45085</v>
      </c>
      <c r="C9" s="30" t="s">
        <v>41</v>
      </c>
      <c r="D9" s="30" t="s">
        <v>43</v>
      </c>
      <c r="E9" s="30">
        <v>25999</v>
      </c>
      <c r="F9" s="30">
        <v>3</v>
      </c>
      <c r="G9" s="30">
        <v>77997</v>
      </c>
      <c r="H9" s="30" t="s">
        <v>20</v>
      </c>
      <c r="I9" s="31">
        <v>0.18</v>
      </c>
      <c r="J9" s="30">
        <v>92036.459999999992</v>
      </c>
      <c r="K9" s="32" t="s">
        <v>35</v>
      </c>
    </row>
    <row r="10" spans="1:11" x14ac:dyDescent="0.3">
      <c r="A10" s="33" t="s">
        <v>46</v>
      </c>
      <c r="B10" s="51">
        <v>45085</v>
      </c>
      <c r="C10" s="34" t="s">
        <v>44</v>
      </c>
      <c r="D10" s="34" t="s">
        <v>47</v>
      </c>
      <c r="E10" s="34">
        <v>789</v>
      </c>
      <c r="F10" s="34">
        <v>6</v>
      </c>
      <c r="G10" s="34">
        <v>4734</v>
      </c>
      <c r="H10" s="34" t="s">
        <v>20</v>
      </c>
      <c r="I10" s="35">
        <v>0.28000000000000003</v>
      </c>
      <c r="J10" s="34">
        <v>6059.52</v>
      </c>
      <c r="K10" s="36" t="s">
        <v>45</v>
      </c>
    </row>
    <row r="11" spans="1:11" x14ac:dyDescent="0.3">
      <c r="A11" s="29" t="s">
        <v>49</v>
      </c>
      <c r="B11" s="50">
        <v>45085</v>
      </c>
      <c r="C11" s="30" t="s">
        <v>22</v>
      </c>
      <c r="D11" s="30" t="s">
        <v>50</v>
      </c>
      <c r="E11" s="30">
        <v>899</v>
      </c>
      <c r="F11" s="30">
        <v>6</v>
      </c>
      <c r="G11" s="30">
        <v>5394</v>
      </c>
      <c r="H11" s="30" t="s">
        <v>51</v>
      </c>
      <c r="I11" s="31">
        <v>0.28000000000000003</v>
      </c>
      <c r="J11" s="30">
        <v>6904.32</v>
      </c>
      <c r="K11" s="32" t="s">
        <v>48</v>
      </c>
    </row>
    <row r="12" spans="1:11" x14ac:dyDescent="0.3">
      <c r="A12" s="33" t="s">
        <v>53</v>
      </c>
      <c r="B12" s="51">
        <v>45085</v>
      </c>
      <c r="C12" s="34" t="s">
        <v>52</v>
      </c>
      <c r="D12" s="34" t="s">
        <v>54</v>
      </c>
      <c r="E12" s="34">
        <v>750</v>
      </c>
      <c r="F12" s="34">
        <v>2</v>
      </c>
      <c r="G12" s="34">
        <v>1500</v>
      </c>
      <c r="H12" s="34" t="s">
        <v>51</v>
      </c>
      <c r="I12" s="35">
        <v>0.28000000000000003</v>
      </c>
      <c r="J12" s="34">
        <v>1920</v>
      </c>
      <c r="K12" s="36" t="s">
        <v>45</v>
      </c>
    </row>
    <row r="13" spans="1:11" x14ac:dyDescent="0.3">
      <c r="A13" s="29" t="s">
        <v>56</v>
      </c>
      <c r="B13" s="50">
        <v>45085</v>
      </c>
      <c r="C13" s="30" t="s">
        <v>55</v>
      </c>
      <c r="D13" s="30" t="s">
        <v>57</v>
      </c>
      <c r="E13" s="30">
        <v>1850</v>
      </c>
      <c r="F13" s="30">
        <v>4</v>
      </c>
      <c r="G13" s="30">
        <v>7400</v>
      </c>
      <c r="H13" s="30" t="s">
        <v>51</v>
      </c>
      <c r="I13" s="31">
        <v>0.28000000000000003</v>
      </c>
      <c r="J13" s="30">
        <v>9472</v>
      </c>
      <c r="K13" s="32" t="s">
        <v>21</v>
      </c>
    </row>
    <row r="14" spans="1:11" x14ac:dyDescent="0.3">
      <c r="A14" s="33" t="s">
        <v>59</v>
      </c>
      <c r="B14" s="51">
        <v>45085</v>
      </c>
      <c r="C14" s="34" t="s">
        <v>58</v>
      </c>
      <c r="D14" s="34" t="s">
        <v>50</v>
      </c>
      <c r="E14" s="34">
        <v>1450</v>
      </c>
      <c r="F14" s="34">
        <v>1</v>
      </c>
      <c r="G14" s="34">
        <v>1450</v>
      </c>
      <c r="H14" s="34" t="s">
        <v>51</v>
      </c>
      <c r="I14" s="35">
        <v>0.28000000000000003</v>
      </c>
      <c r="J14" s="34">
        <v>1856</v>
      </c>
      <c r="K14" s="36" t="s">
        <v>48</v>
      </c>
    </row>
    <row r="15" spans="1:11" x14ac:dyDescent="0.3">
      <c r="A15" s="29" t="s">
        <v>60</v>
      </c>
      <c r="B15" s="50">
        <v>45085</v>
      </c>
      <c r="C15" s="30" t="s">
        <v>26</v>
      </c>
      <c r="D15" s="30" t="s">
        <v>61</v>
      </c>
      <c r="E15" s="30">
        <v>1750</v>
      </c>
      <c r="F15" s="30">
        <v>3</v>
      </c>
      <c r="G15" s="30">
        <v>5250</v>
      </c>
      <c r="H15" s="30" t="s">
        <v>51</v>
      </c>
      <c r="I15" s="31">
        <v>0.12</v>
      </c>
      <c r="J15" s="30">
        <v>5880</v>
      </c>
      <c r="K15" s="32" t="s">
        <v>45</v>
      </c>
    </row>
    <row r="16" spans="1:11" x14ac:dyDescent="0.3">
      <c r="A16" s="33" t="s">
        <v>63</v>
      </c>
      <c r="B16" s="51">
        <v>45085</v>
      </c>
      <c r="C16" s="34" t="s">
        <v>62</v>
      </c>
      <c r="D16" s="34" t="s">
        <v>64</v>
      </c>
      <c r="E16" s="34">
        <v>45000</v>
      </c>
      <c r="F16" s="34">
        <v>1</v>
      </c>
      <c r="G16" s="34">
        <v>45000</v>
      </c>
      <c r="H16" s="34" t="s">
        <v>51</v>
      </c>
      <c r="I16" s="35">
        <v>0.12</v>
      </c>
      <c r="J16" s="34">
        <v>50400</v>
      </c>
      <c r="K16" s="36" t="s">
        <v>23</v>
      </c>
    </row>
    <row r="17" spans="1:11" x14ac:dyDescent="0.3">
      <c r="A17" s="29" t="s">
        <v>71</v>
      </c>
      <c r="B17" s="50">
        <v>45085</v>
      </c>
      <c r="C17" s="30" t="s">
        <v>70</v>
      </c>
      <c r="D17" s="30" t="s">
        <v>72</v>
      </c>
      <c r="E17" s="30">
        <v>950</v>
      </c>
      <c r="F17" s="30">
        <v>3</v>
      </c>
      <c r="G17" s="30">
        <v>2850</v>
      </c>
      <c r="H17" s="30" t="s">
        <v>51</v>
      </c>
      <c r="I17" s="31">
        <v>0.18</v>
      </c>
      <c r="J17" s="30">
        <v>3363</v>
      </c>
      <c r="K17" s="32" t="s">
        <v>45</v>
      </c>
    </row>
    <row r="18" spans="1:11" x14ac:dyDescent="0.3">
      <c r="A18" s="17" t="s">
        <v>73</v>
      </c>
      <c r="B18" s="52">
        <v>45085</v>
      </c>
      <c r="C18" s="18" t="s">
        <v>38</v>
      </c>
      <c r="D18" s="18" t="s">
        <v>74</v>
      </c>
      <c r="E18" s="18">
        <v>850</v>
      </c>
      <c r="F18" s="18">
        <v>4</v>
      </c>
      <c r="G18" s="18">
        <v>3400</v>
      </c>
      <c r="H18" s="18" t="s">
        <v>51</v>
      </c>
      <c r="I18" s="37">
        <v>0.18</v>
      </c>
      <c r="J18" s="18">
        <v>4012</v>
      </c>
      <c r="K18" s="19" t="s">
        <v>23</v>
      </c>
    </row>
    <row r="19" spans="1:11" x14ac:dyDescent="0.3">
      <c r="A19" s="46" t="s">
        <v>76</v>
      </c>
      <c r="B19" s="53">
        <v>45088</v>
      </c>
      <c r="C19" s="46" t="s">
        <v>22</v>
      </c>
      <c r="D19" s="46" t="s">
        <v>77</v>
      </c>
      <c r="E19" s="46">
        <v>350</v>
      </c>
      <c r="F19" s="46">
        <v>6</v>
      </c>
      <c r="G19" s="46">
        <v>2100</v>
      </c>
      <c r="H19" s="46" t="s">
        <v>20</v>
      </c>
      <c r="I19" s="8">
        <v>0.18</v>
      </c>
      <c r="J19" s="46">
        <v>2478</v>
      </c>
      <c r="K19" s="46" t="s">
        <v>75</v>
      </c>
    </row>
    <row r="20" spans="1:11" x14ac:dyDescent="0.3">
      <c r="A20" s="46" t="s">
        <v>79</v>
      </c>
      <c r="B20" s="53">
        <v>45088</v>
      </c>
      <c r="C20" s="46" t="s">
        <v>78</v>
      </c>
      <c r="D20" s="46" t="s">
        <v>80</v>
      </c>
      <c r="E20" s="46">
        <v>1565</v>
      </c>
      <c r="F20" s="46">
        <v>2</v>
      </c>
      <c r="G20" s="46">
        <v>3130</v>
      </c>
      <c r="H20" s="46" t="s">
        <v>20</v>
      </c>
      <c r="I20" s="8">
        <v>0.18</v>
      </c>
      <c r="J20" s="46">
        <v>3693.3999999999996</v>
      </c>
      <c r="K20" s="46" t="s">
        <v>45</v>
      </c>
    </row>
    <row r="21" spans="1:11" x14ac:dyDescent="0.3">
      <c r="A21" s="46" t="s">
        <v>82</v>
      </c>
      <c r="B21" s="53">
        <v>45088</v>
      </c>
      <c r="C21" s="46" t="s">
        <v>81</v>
      </c>
      <c r="D21" s="46" t="s">
        <v>83</v>
      </c>
      <c r="E21" s="46">
        <v>100</v>
      </c>
      <c r="F21" s="46">
        <v>1</v>
      </c>
      <c r="G21" s="46">
        <v>100</v>
      </c>
      <c r="H21" s="46" t="s">
        <v>20</v>
      </c>
      <c r="I21" s="8">
        <v>0.18</v>
      </c>
      <c r="J21" s="46">
        <v>118</v>
      </c>
      <c r="K21" s="46" t="s">
        <v>23</v>
      </c>
    </row>
    <row r="22" spans="1:11" x14ac:dyDescent="0.3">
      <c r="A22" s="46" t="s">
        <v>84</v>
      </c>
      <c r="B22" s="53">
        <v>45088</v>
      </c>
      <c r="C22" s="46" t="s">
        <v>30</v>
      </c>
      <c r="D22" s="46" t="s">
        <v>85</v>
      </c>
      <c r="E22" s="46">
        <v>799</v>
      </c>
      <c r="F22" s="46">
        <v>1</v>
      </c>
      <c r="G22" s="46">
        <v>799</v>
      </c>
      <c r="H22" s="46" t="s">
        <v>51</v>
      </c>
      <c r="I22" s="8">
        <v>0.18</v>
      </c>
      <c r="J22" s="46">
        <v>942.81999999999994</v>
      </c>
      <c r="K22" s="46" t="s">
        <v>45</v>
      </c>
    </row>
    <row r="23" spans="1:11" x14ac:dyDescent="0.3">
      <c r="A23" s="46" t="s">
        <v>87</v>
      </c>
      <c r="B23" s="53">
        <v>45088</v>
      </c>
      <c r="C23" s="46" t="s">
        <v>86</v>
      </c>
      <c r="D23" s="46" t="s">
        <v>88</v>
      </c>
      <c r="E23" s="46">
        <v>65000</v>
      </c>
      <c r="F23" s="46">
        <v>1</v>
      </c>
      <c r="G23" s="46">
        <v>65000</v>
      </c>
      <c r="H23" s="46" t="s">
        <v>20</v>
      </c>
      <c r="I23" s="8">
        <v>0.18</v>
      </c>
      <c r="J23" s="46">
        <v>76700</v>
      </c>
      <c r="K23" s="46" t="s">
        <v>75</v>
      </c>
    </row>
  </sheetData>
  <sheetProtection selectLockedCells="1" selectUnlockedCells="1"/>
  <mergeCells count="1">
    <mergeCell ref="B1:J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632A1-30B3-47A2-87AE-4AD188EDD846}">
  <sheetPr codeName="Sheet3"/>
  <dimension ref="A4:B7"/>
  <sheetViews>
    <sheetView showGridLines="0" zoomScale="115" zoomScaleNormal="115" workbookViewId="0"/>
  </sheetViews>
  <sheetFormatPr defaultRowHeight="14.4" x14ac:dyDescent="0.3"/>
  <cols>
    <col min="1" max="1" width="10.77734375" style="6" bestFit="1" customWidth="1"/>
    <col min="2" max="2" width="14.44140625" bestFit="1" customWidth="1"/>
  </cols>
  <sheetData>
    <row r="4" spans="1:2" x14ac:dyDescent="0.3">
      <c r="A4" s="23" t="s">
        <v>2</v>
      </c>
      <c r="B4" s="24" t="s">
        <v>66</v>
      </c>
    </row>
    <row r="5" spans="1:2" x14ac:dyDescent="0.3">
      <c r="A5" s="47">
        <v>45085</v>
      </c>
      <c r="B5" s="22">
        <v>226566.3</v>
      </c>
    </row>
    <row r="6" spans="1:2" x14ac:dyDescent="0.3">
      <c r="A6" s="47">
        <v>45088</v>
      </c>
      <c r="B6" s="22">
        <v>83932.22</v>
      </c>
    </row>
    <row r="7" spans="1:2" x14ac:dyDescent="0.3">
      <c r="A7" s="21" t="s">
        <v>65</v>
      </c>
      <c r="B7" s="22">
        <v>310498.52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D6EB5-C68C-4FCB-9851-6AFD5E766763}">
  <sheetPr codeName="Sheet4"/>
  <dimension ref="A4:C20"/>
  <sheetViews>
    <sheetView showGridLines="0" zoomScale="99" zoomScaleNormal="99" workbookViewId="0">
      <selection activeCell="A2" sqref="A2"/>
    </sheetView>
  </sheetViews>
  <sheetFormatPr defaultRowHeight="14.4" x14ac:dyDescent="0.3"/>
  <cols>
    <col min="1" max="1" width="13.6640625" bestFit="1" customWidth="1"/>
    <col min="2" max="2" width="11.77734375" bestFit="1" customWidth="1"/>
    <col min="3" max="4" width="14.5546875" bestFit="1" customWidth="1"/>
  </cols>
  <sheetData>
    <row r="4" spans="1:3" x14ac:dyDescent="0.3">
      <c r="A4" s="12" t="s">
        <v>68</v>
      </c>
      <c r="B4" s="13" t="s">
        <v>67</v>
      </c>
      <c r="C4" s="13" t="s">
        <v>66</v>
      </c>
    </row>
    <row r="5" spans="1:3" x14ac:dyDescent="0.3">
      <c r="A5" s="10" t="s">
        <v>62</v>
      </c>
      <c r="B5" s="20">
        <v>45000</v>
      </c>
      <c r="C5" s="20">
        <v>50400</v>
      </c>
    </row>
    <row r="6" spans="1:3" x14ac:dyDescent="0.3">
      <c r="A6" s="10" t="s">
        <v>55</v>
      </c>
      <c r="B6" s="20">
        <v>7400</v>
      </c>
      <c r="C6" s="20">
        <v>9472</v>
      </c>
    </row>
    <row r="7" spans="1:3" x14ac:dyDescent="0.3">
      <c r="A7" s="10" t="s">
        <v>52</v>
      </c>
      <c r="B7" s="20">
        <v>1500</v>
      </c>
      <c r="C7" s="20">
        <v>1920</v>
      </c>
    </row>
    <row r="8" spans="1:3" x14ac:dyDescent="0.3">
      <c r="A8" s="10" t="s">
        <v>30</v>
      </c>
      <c r="B8" s="20">
        <v>3349</v>
      </c>
      <c r="C8" s="20">
        <v>3951.8199999999997</v>
      </c>
    </row>
    <row r="9" spans="1:3" x14ac:dyDescent="0.3">
      <c r="A9" s="10" t="s">
        <v>58</v>
      </c>
      <c r="B9" s="20">
        <v>1450</v>
      </c>
      <c r="C9" s="20">
        <v>1856</v>
      </c>
    </row>
    <row r="10" spans="1:3" x14ac:dyDescent="0.3">
      <c r="A10" s="10" t="s">
        <v>41</v>
      </c>
      <c r="B10" s="20">
        <v>77997</v>
      </c>
      <c r="C10" s="20">
        <v>92036.459999999992</v>
      </c>
    </row>
    <row r="11" spans="1:3" x14ac:dyDescent="0.3">
      <c r="A11" s="10" t="s">
        <v>22</v>
      </c>
      <c r="B11" s="20">
        <v>10644</v>
      </c>
      <c r="C11" s="20">
        <v>13099.32</v>
      </c>
    </row>
    <row r="12" spans="1:3" x14ac:dyDescent="0.3">
      <c r="A12" s="10" t="s">
        <v>44</v>
      </c>
      <c r="B12" s="20">
        <v>4734</v>
      </c>
      <c r="C12" s="20">
        <v>6059.52</v>
      </c>
    </row>
    <row r="13" spans="1:3" x14ac:dyDescent="0.3">
      <c r="A13" s="10" t="s">
        <v>34</v>
      </c>
      <c r="B13" s="20">
        <v>21000</v>
      </c>
      <c r="C13" s="20">
        <v>24780</v>
      </c>
    </row>
    <row r="14" spans="1:3" x14ac:dyDescent="0.3">
      <c r="A14" s="10" t="s">
        <v>26</v>
      </c>
      <c r="B14" s="20">
        <v>13950</v>
      </c>
      <c r="C14" s="20">
        <v>16146</v>
      </c>
    </row>
    <row r="15" spans="1:3" x14ac:dyDescent="0.3">
      <c r="A15" s="10" t="s">
        <v>38</v>
      </c>
      <c r="B15" s="20">
        <v>5850</v>
      </c>
      <c r="C15" s="20">
        <v>6903</v>
      </c>
    </row>
    <row r="16" spans="1:3" x14ac:dyDescent="0.3">
      <c r="A16" s="10" t="s">
        <v>70</v>
      </c>
      <c r="B16" s="20">
        <v>2850</v>
      </c>
      <c r="C16" s="20">
        <v>3363</v>
      </c>
    </row>
    <row r="17" spans="1:3" x14ac:dyDescent="0.3">
      <c r="A17" s="10" t="s">
        <v>78</v>
      </c>
      <c r="B17" s="20">
        <v>3130</v>
      </c>
      <c r="C17" s="20">
        <v>3693.3999999999996</v>
      </c>
    </row>
    <row r="18" spans="1:3" x14ac:dyDescent="0.3">
      <c r="A18" s="10" t="s">
        <v>81</v>
      </c>
      <c r="B18" s="20">
        <v>100</v>
      </c>
      <c r="C18" s="20">
        <v>118</v>
      </c>
    </row>
    <row r="19" spans="1:3" x14ac:dyDescent="0.3">
      <c r="A19" s="10" t="s">
        <v>86</v>
      </c>
      <c r="B19" s="20">
        <v>65000</v>
      </c>
      <c r="C19" s="20">
        <v>76700</v>
      </c>
    </row>
    <row r="20" spans="1:3" x14ac:dyDescent="0.3">
      <c r="A20" s="10" t="s">
        <v>65</v>
      </c>
      <c r="B20" s="20">
        <v>263954</v>
      </c>
      <c r="C20" s="20">
        <v>310498.52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C3A9E-949E-4714-8B2F-EDFCFA30DE05}">
  <sheetPr codeName="Sheet5"/>
  <dimension ref="A4:B13"/>
  <sheetViews>
    <sheetView showGridLines="0" zoomScale="107" zoomScaleNormal="107" workbookViewId="0"/>
  </sheetViews>
  <sheetFormatPr defaultRowHeight="14.4" x14ac:dyDescent="0.3"/>
  <cols>
    <col min="1" max="1" width="11.88671875" bestFit="1" customWidth="1"/>
    <col min="2" max="2" width="14.6640625" bestFit="1" customWidth="1"/>
    <col min="3" max="3" width="14.44140625" bestFit="1" customWidth="1"/>
  </cols>
  <sheetData>
    <row r="4" spans="1:2" x14ac:dyDescent="0.3">
      <c r="A4" s="12" t="s">
        <v>12</v>
      </c>
      <c r="B4" s="13" t="s">
        <v>66</v>
      </c>
    </row>
    <row r="5" spans="1:2" x14ac:dyDescent="0.3">
      <c r="A5" s="10" t="s">
        <v>35</v>
      </c>
      <c r="B5" s="20">
        <v>116816.45999999999</v>
      </c>
    </row>
    <row r="6" spans="1:2" x14ac:dyDescent="0.3">
      <c r="A6" s="10" t="s">
        <v>31</v>
      </c>
      <c r="B6" s="20">
        <v>3009</v>
      </c>
    </row>
    <row r="7" spans="1:2" x14ac:dyDescent="0.3">
      <c r="A7" s="10" t="s">
        <v>21</v>
      </c>
      <c r="B7" s="20">
        <v>12363</v>
      </c>
    </row>
    <row r="8" spans="1:2" x14ac:dyDescent="0.3">
      <c r="A8" s="10" t="s">
        <v>48</v>
      </c>
      <c r="B8" s="20">
        <v>8760.32</v>
      </c>
    </row>
    <row r="9" spans="1:2" x14ac:dyDescent="0.3">
      <c r="A9" s="10" t="s">
        <v>23</v>
      </c>
      <c r="B9" s="20">
        <v>58247</v>
      </c>
    </row>
    <row r="10" spans="1:2" x14ac:dyDescent="0.3">
      <c r="A10" s="10" t="s">
        <v>27</v>
      </c>
      <c r="B10" s="20">
        <v>10266</v>
      </c>
    </row>
    <row r="11" spans="1:2" x14ac:dyDescent="0.3">
      <c r="A11" s="10" t="s">
        <v>45</v>
      </c>
      <c r="B11" s="20">
        <v>21858.739999999998</v>
      </c>
    </row>
    <row r="12" spans="1:2" x14ac:dyDescent="0.3">
      <c r="A12" s="10" t="s">
        <v>75</v>
      </c>
      <c r="B12" s="20">
        <v>79178</v>
      </c>
    </row>
    <row r="13" spans="1:2" x14ac:dyDescent="0.3">
      <c r="A13" s="10" t="s">
        <v>65</v>
      </c>
      <c r="B13" s="20">
        <v>310498.52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F79D4-8519-4515-A96C-6641D6EE5EEC}">
  <sheetPr codeName="Sheet6"/>
  <dimension ref="A4:C39"/>
  <sheetViews>
    <sheetView showGridLines="0" workbookViewId="0"/>
  </sheetViews>
  <sheetFormatPr defaultRowHeight="14.4" x14ac:dyDescent="0.3"/>
  <cols>
    <col min="1" max="1" width="16" bestFit="1" customWidth="1"/>
    <col min="2" max="2" width="11.6640625" bestFit="1" customWidth="1"/>
    <col min="3" max="4" width="14.44140625" bestFit="1" customWidth="1"/>
  </cols>
  <sheetData>
    <row r="4" spans="1:3" x14ac:dyDescent="0.3">
      <c r="A4" s="9" t="s">
        <v>14</v>
      </c>
      <c r="B4" t="s">
        <v>69</v>
      </c>
    </row>
    <row r="6" spans="1:3" x14ac:dyDescent="0.3">
      <c r="A6" s="9" t="s">
        <v>12</v>
      </c>
      <c r="B6" t="s">
        <v>67</v>
      </c>
      <c r="C6" t="s">
        <v>66</v>
      </c>
    </row>
    <row r="7" spans="1:3" x14ac:dyDescent="0.3">
      <c r="A7" s="10" t="s">
        <v>62</v>
      </c>
      <c r="B7" s="20">
        <v>45000</v>
      </c>
      <c r="C7" s="20">
        <v>50400</v>
      </c>
    </row>
    <row r="8" spans="1:3" x14ac:dyDescent="0.3">
      <c r="A8" s="11">
        <v>45085</v>
      </c>
      <c r="B8" s="20">
        <v>45000</v>
      </c>
      <c r="C8" s="20">
        <v>50400</v>
      </c>
    </row>
    <row r="9" spans="1:3" x14ac:dyDescent="0.3">
      <c r="A9" s="10" t="s">
        <v>55</v>
      </c>
      <c r="B9" s="20">
        <v>7400</v>
      </c>
      <c r="C9" s="20">
        <v>9472</v>
      </c>
    </row>
    <row r="10" spans="1:3" x14ac:dyDescent="0.3">
      <c r="A10" s="11">
        <v>45085</v>
      </c>
      <c r="B10" s="20">
        <v>7400</v>
      </c>
      <c r="C10" s="20">
        <v>9472</v>
      </c>
    </row>
    <row r="11" spans="1:3" x14ac:dyDescent="0.3">
      <c r="A11" s="10" t="s">
        <v>52</v>
      </c>
      <c r="B11" s="20">
        <v>1500</v>
      </c>
      <c r="C11" s="20">
        <v>1920</v>
      </c>
    </row>
    <row r="12" spans="1:3" x14ac:dyDescent="0.3">
      <c r="A12" s="11">
        <v>45085</v>
      </c>
      <c r="B12" s="20">
        <v>1500</v>
      </c>
      <c r="C12" s="20">
        <v>1920</v>
      </c>
    </row>
    <row r="13" spans="1:3" x14ac:dyDescent="0.3">
      <c r="A13" s="10" t="s">
        <v>30</v>
      </c>
      <c r="B13" s="20">
        <v>3349</v>
      </c>
      <c r="C13" s="20">
        <v>3951.8199999999997</v>
      </c>
    </row>
    <row r="14" spans="1:3" x14ac:dyDescent="0.3">
      <c r="A14" s="11">
        <v>45085</v>
      </c>
      <c r="B14" s="20">
        <v>2550</v>
      </c>
      <c r="C14" s="20">
        <v>3009</v>
      </c>
    </row>
    <row r="15" spans="1:3" x14ac:dyDescent="0.3">
      <c r="A15" s="11">
        <v>45088</v>
      </c>
      <c r="B15" s="20">
        <v>799</v>
      </c>
      <c r="C15" s="20">
        <v>942.81999999999994</v>
      </c>
    </row>
    <row r="16" spans="1:3" x14ac:dyDescent="0.3">
      <c r="A16" s="10" t="s">
        <v>58</v>
      </c>
      <c r="B16" s="20">
        <v>1450</v>
      </c>
      <c r="C16" s="20">
        <v>1856</v>
      </c>
    </row>
    <row r="17" spans="1:3" x14ac:dyDescent="0.3">
      <c r="A17" s="11">
        <v>45085</v>
      </c>
      <c r="B17" s="20">
        <v>1450</v>
      </c>
      <c r="C17" s="20">
        <v>1856</v>
      </c>
    </row>
    <row r="18" spans="1:3" x14ac:dyDescent="0.3">
      <c r="A18" s="10" t="s">
        <v>41</v>
      </c>
      <c r="B18" s="20">
        <v>77997</v>
      </c>
      <c r="C18" s="20">
        <v>92036.459999999992</v>
      </c>
    </row>
    <row r="19" spans="1:3" x14ac:dyDescent="0.3">
      <c r="A19" s="11">
        <v>45085</v>
      </c>
      <c r="B19" s="20">
        <v>77997</v>
      </c>
      <c r="C19" s="20">
        <v>92036.459999999992</v>
      </c>
    </row>
    <row r="20" spans="1:3" x14ac:dyDescent="0.3">
      <c r="A20" s="10" t="s">
        <v>22</v>
      </c>
      <c r="B20" s="20">
        <v>10644</v>
      </c>
      <c r="C20" s="20">
        <v>13099.32</v>
      </c>
    </row>
    <row r="21" spans="1:3" x14ac:dyDescent="0.3">
      <c r="A21" s="11">
        <v>45085</v>
      </c>
      <c r="B21" s="20">
        <v>8544</v>
      </c>
      <c r="C21" s="20">
        <v>10621.32</v>
      </c>
    </row>
    <row r="22" spans="1:3" x14ac:dyDescent="0.3">
      <c r="A22" s="11">
        <v>45088</v>
      </c>
      <c r="B22" s="20">
        <v>2100</v>
      </c>
      <c r="C22" s="20">
        <v>2478</v>
      </c>
    </row>
    <row r="23" spans="1:3" x14ac:dyDescent="0.3">
      <c r="A23" s="10" t="s">
        <v>44</v>
      </c>
      <c r="B23" s="20">
        <v>4734</v>
      </c>
      <c r="C23" s="20">
        <v>6059.52</v>
      </c>
    </row>
    <row r="24" spans="1:3" x14ac:dyDescent="0.3">
      <c r="A24" s="11">
        <v>45085</v>
      </c>
      <c r="B24" s="20">
        <v>4734</v>
      </c>
      <c r="C24" s="20">
        <v>6059.52</v>
      </c>
    </row>
    <row r="25" spans="1:3" x14ac:dyDescent="0.3">
      <c r="A25" s="10" t="s">
        <v>34</v>
      </c>
      <c r="B25" s="20">
        <v>21000</v>
      </c>
      <c r="C25" s="20">
        <v>24780</v>
      </c>
    </row>
    <row r="26" spans="1:3" x14ac:dyDescent="0.3">
      <c r="A26" s="11">
        <v>45085</v>
      </c>
      <c r="B26" s="20">
        <v>21000</v>
      </c>
      <c r="C26" s="20">
        <v>24780</v>
      </c>
    </row>
    <row r="27" spans="1:3" x14ac:dyDescent="0.3">
      <c r="A27" s="10" t="s">
        <v>26</v>
      </c>
      <c r="B27" s="20">
        <v>13950</v>
      </c>
      <c r="C27" s="20">
        <v>16146</v>
      </c>
    </row>
    <row r="28" spans="1:3" x14ac:dyDescent="0.3">
      <c r="A28" s="11">
        <v>45085</v>
      </c>
      <c r="B28" s="20">
        <v>13950</v>
      </c>
      <c r="C28" s="20">
        <v>16146</v>
      </c>
    </row>
    <row r="29" spans="1:3" x14ac:dyDescent="0.3">
      <c r="A29" s="10" t="s">
        <v>38</v>
      </c>
      <c r="B29" s="20">
        <v>5850</v>
      </c>
      <c r="C29" s="20">
        <v>6903</v>
      </c>
    </row>
    <row r="30" spans="1:3" x14ac:dyDescent="0.3">
      <c r="A30" s="11">
        <v>45085</v>
      </c>
      <c r="B30" s="20">
        <v>5850</v>
      </c>
      <c r="C30" s="20">
        <v>6903</v>
      </c>
    </row>
    <row r="31" spans="1:3" x14ac:dyDescent="0.3">
      <c r="A31" s="10" t="s">
        <v>70</v>
      </c>
      <c r="B31" s="20">
        <v>2850</v>
      </c>
      <c r="C31" s="20">
        <v>3363</v>
      </c>
    </row>
    <row r="32" spans="1:3" x14ac:dyDescent="0.3">
      <c r="A32" s="11">
        <v>45085</v>
      </c>
      <c r="B32" s="20">
        <v>2850</v>
      </c>
      <c r="C32" s="20">
        <v>3363</v>
      </c>
    </row>
    <row r="33" spans="1:3" x14ac:dyDescent="0.3">
      <c r="A33" s="10" t="s">
        <v>78</v>
      </c>
      <c r="B33" s="20">
        <v>3130</v>
      </c>
      <c r="C33" s="20">
        <v>3693.3999999999996</v>
      </c>
    </row>
    <row r="34" spans="1:3" x14ac:dyDescent="0.3">
      <c r="A34" s="11">
        <v>45088</v>
      </c>
      <c r="B34" s="20">
        <v>3130</v>
      </c>
      <c r="C34" s="20">
        <v>3693.3999999999996</v>
      </c>
    </row>
    <row r="35" spans="1:3" x14ac:dyDescent="0.3">
      <c r="A35" s="10" t="s">
        <v>81</v>
      </c>
      <c r="B35" s="20">
        <v>100</v>
      </c>
      <c r="C35" s="20">
        <v>118</v>
      </c>
    </row>
    <row r="36" spans="1:3" x14ac:dyDescent="0.3">
      <c r="A36" s="11">
        <v>45088</v>
      </c>
      <c r="B36" s="20">
        <v>100</v>
      </c>
      <c r="C36" s="20">
        <v>118</v>
      </c>
    </row>
    <row r="37" spans="1:3" x14ac:dyDescent="0.3">
      <c r="A37" s="10" t="s">
        <v>86</v>
      </c>
      <c r="B37" s="20">
        <v>65000</v>
      </c>
      <c r="C37" s="20">
        <v>76700</v>
      </c>
    </row>
    <row r="38" spans="1:3" x14ac:dyDescent="0.3">
      <c r="A38" s="11">
        <v>45088</v>
      </c>
      <c r="B38" s="20">
        <v>65000</v>
      </c>
      <c r="C38" s="20">
        <v>76700</v>
      </c>
    </row>
    <row r="39" spans="1:3" x14ac:dyDescent="0.3">
      <c r="A39" s="10" t="s">
        <v>65</v>
      </c>
      <c r="B39" s="20">
        <v>263954</v>
      </c>
      <c r="C39" s="20">
        <v>310498.52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 Entry</vt:lpstr>
      <vt:lpstr>Sales Data</vt:lpstr>
      <vt:lpstr>Date Wise</vt:lpstr>
      <vt:lpstr>Item Wise</vt:lpstr>
      <vt:lpstr>Salesman Wise</vt:lpstr>
      <vt:lpstr>Total 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Future</dc:creator>
  <cp:lastModifiedBy>Abdulkadar Kapasi</cp:lastModifiedBy>
  <dcterms:created xsi:type="dcterms:W3CDTF">2022-07-05T18:59:31Z</dcterms:created>
  <dcterms:modified xsi:type="dcterms:W3CDTF">2023-06-11T11:37:46Z</dcterms:modified>
</cp:coreProperties>
</file>